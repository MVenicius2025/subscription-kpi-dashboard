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D08C2A80-BDBE-4780-BDF8-B296E1439989}" xr6:coauthVersionLast="47" xr6:coauthVersionMax="47" xr10:uidLastSave="{00000000-0000-0000-0000-000000000000}"/>
  <bookViews>
    <workbookView xWindow="-20610" yWindow="-1350" windowWidth="20730" windowHeight="11760" tabRatio="0" firstSheet="4" activeTab="4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C̳álculos" sheetId="3" state="hidden" r:id="rId4"/>
    <sheet name="D̳ashboard" sheetId="4" r:id="rId5"/>
  </sheets>
  <definedNames>
    <definedName name="_xlnm._FilterDatabase" localSheetId="4" hidden="1">D̳ashboard!#REF!</definedName>
    <definedName name="SegmentaçãodeDados_Plan">#N/A</definedName>
    <definedName name="SegmentaçãodeDados_Subscription_Type">#N/A</definedName>
    <definedName name="SegmentaçãodeDados_Subscription_Type1">#N/A</definedName>
  </definedNames>
  <calcPr calcId="191028"/>
  <pivotCaches>
    <pivotCache cacheId="5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36" i="3"/>
  <c r="E45" i="3"/>
  <c r="E60" i="3"/>
  <c r="E25" i="3"/>
</calcChain>
</file>

<file path=xl/sharedStrings.xml><?xml version="1.0" encoding="utf-8"?>
<sst xmlns="http://schemas.openxmlformats.org/spreadsheetml/2006/main" count="2760" uniqueCount="328">
  <si>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</si>
  <si>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</si>
  <si>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</si>
  <si>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</si>
  <si>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</si>
  <si>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</si>
  <si>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</si>
  <si>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</si>
  <si>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</si>
  <si>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</si>
  <si>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</si>
  <si>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</si>
  <si>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</si>
  <si>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</si>
  <si>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</si>
  <si>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</si>
  <si>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</si>
  <si>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</si>
  <si>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</si>
  <si>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</si>
  <si>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</si>
  <si>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</si>
  <si>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</si>
  <si>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</si>
  <si>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</si>
  <si>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</si>
  <si>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</si>
  <si>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</si>
  <si>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</si>
  <si>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</si>
  <si>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</si>
  <si>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</si>
  <si>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</si>
  <si>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</si>
  <si>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</si>
  <si>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</si>
  <si>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</si>
  <si>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</si>
  <si>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</si>
  <si>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</si>
  <si>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</si>
  <si>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</si>
  <si>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</si>
  <si>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</si>
  <si>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</si>
  <si>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</si>
  <si>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</si>
  <si>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</si>
  <si>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</si>
  <si>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</si>
  <si>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</si>
  <si>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</si>
  <si>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</si>
  <si>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</si>
  <si>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</si>
  <si>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</si>
  <si>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</si>
  <si>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</si>
  <si>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</si>
  <si>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</si>
  <si>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</si>
  <si>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</si>
  <si>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</si>
  <si>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</si>
  <si>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</si>
  <si>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</si>
  <si>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</si>
  <si>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</si>
  <si>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</si>
  <si>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</si>
  <si>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</si>
  <si>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</si>
  <si>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</si>
  <si>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</si>
  <si>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</si>
  <si>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</si>
  <si>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</si>
  <si>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</si>
  <si>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</si>
  <si>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</si>
  <si>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</si>
  <si>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</si>
  <si>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</si>
  <si>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</si>
  <si>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</si>
  <si>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</si>
  <si>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</si>
  <si>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</si>
  <si>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</si>
  <si>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</si>
  <si>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</si>
  <si>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</si>
  <si>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</si>
  <si>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</si>
  <si>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</si>
  <si>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</si>
  <si>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</si>
  <si>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</si>
  <si>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</si>
  <si>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</si>
  <si>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</si>
  <si>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</si>
  <si>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</si>
  <si>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</si>
  <si>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</si>
  <si>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</si>
  <si>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</si>
  <si>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</si>
  <si>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</si>
  <si>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</si>
  <si>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</si>
  <si>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</si>
  <si>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</si>
  <si>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</si>
  <si>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</si>
  <si>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</si>
  <si>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</si>
  <si>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</si>
  <si>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</si>
  <si>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</si>
  <si>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</si>
  <si>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</si>
  <si>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</si>
  <si>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</si>
  <si>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</si>
  <si>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</si>
  <si>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</si>
  <si>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</si>
  <si>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</si>
  <si>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</si>
  <si>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</si>
  <si>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</si>
  <si>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</si>
  <si>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</si>
  <si>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</si>
  <si>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</si>
  <si>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</si>
  <si>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</si>
  <si>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</si>
  <si>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</si>
  <si>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</si>
  <si>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</si>
  <si>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</si>
  <si>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</si>
  <si>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</si>
  <si>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</si>
  <si>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</si>
  <si>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</si>
  <si>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</si>
  <si>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</si>
  <si>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</si>
  <si>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</si>
  <si>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</si>
  <si>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</si>
  <si>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</si>
  <si>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</si>
  <si>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</si>
  <si>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</si>
  <si>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</si>
  <si>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</si>
  <si>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</si>
  <si>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</si>
  <si>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</si>
  <si>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</si>
  <si>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</si>
  <si>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</si>
  <si>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</si>
  <si>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</si>
  <si>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</si>
  <si>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</si>
  <si>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</si>
  <si>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</si>
  <si>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</si>
  <si>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</si>
  <si>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</si>
  <si>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</si>
  <si>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</si>
  <si>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</si>
  <si>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</si>
  <si>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</si>
  <si>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</si>
  <si>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</si>
  <si>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</si>
  <si>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</si>
  <si>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</si>
  <si>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</si>
  <si>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</si>
  <si>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</si>
  <si>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</si>
  <si>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</si>
  <si>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</si>
  <si>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</si>
  <si>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</si>
  <si>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</si>
  <si>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</si>
  <si>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</si>
  <si>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</si>
  <si>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</si>
  <si>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</si>
  <si>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</si>
  <si>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</si>
  <si>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</si>
  <si>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</si>
  <si>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</si>
  <si>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</si>
  <si>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</si>
  <si>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</si>
  <si>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</si>
  <si>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</si>
  <si>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</si>
  <si>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</si>
  <si>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</si>
  <si>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</si>
  <si>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</si>
  <si>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</si>
  <si>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</si>
  <si>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</si>
  <si>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</si>
  <si>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</si>
  <si>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</si>
  <si>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</si>
  <si>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</si>
  <si>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</si>
  <si>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</si>
  <si>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</si>
  <si>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</si>
  <si>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</si>
  <si>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</si>
  <si>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</si>
  <si>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</si>
  <si>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</si>
  <si>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</si>
  <si>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</si>
  <si>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</si>
  <si>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</si>
  <si>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</si>
  <si>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</si>
  <si>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</si>
  <si>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</si>
  <si>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</si>
  <si>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</si>
  <si>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</si>
  <si>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</si>
  <si>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</si>
  <si>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</si>
  <si>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</si>
  <si>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</si>
  <si>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</si>
  <si>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</si>
  <si>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</si>
  <si>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</si>
  <si>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</si>
  <si>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</si>
  <si>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</si>
  <si>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</si>
  <si>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</si>
  <si>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</si>
  <si>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</si>
  <si>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</si>
  <si>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</si>
  <si>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</si>
  <si>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</si>
  <si>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</si>
  <si>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</si>
  <si>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</si>
  <si>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</si>
  <si>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</si>
  <si>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</si>
  <si>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</si>
  <si>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</si>
  <si>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</si>
  <si>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</si>
  <si>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</si>
  <si>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</si>
  <si>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</si>
  <si>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</si>
  <si>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</si>
  <si>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</si>
  <si>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</si>
  <si>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</si>
  <si>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</si>
  <si>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</si>
  <si>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</si>
  <si>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</si>
  <si>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</si>
  <si>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</si>
  <si>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</si>
  <si>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</si>
  <si>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</si>
  <si>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</si>
  <si>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</si>
  <si>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</si>
  <si>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</si>
  <si>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</si>
  <si>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</si>
  <si>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</si>
  <si>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</si>
  <si>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</si>
  <si>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</si>
  <si>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</si>
  <si>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</si>
  <si>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</si>
  <si>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</si>
  <si>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</si>
  <si>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</si>
  <si>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</si>
  <si>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</si>
  <si>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</si>
  <si>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</si>
  <si>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</si>
  <si>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</si>
  <si>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</si>
  <si>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</si>
  <si>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</si>
  <si>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rPr>
        <sz val="11"/>
        <color rgb="FF000000"/>
        <rFont val="Aptos Narrow"/>
        <scheme val="minor"/>
      </rPr>
      <t xml:space="preserve">Pergunta de Negócio 1 - Qual faturamento </t>
    </r>
    <r>
      <rPr>
        <b/>
        <sz val="11"/>
        <color rgb="FF000000"/>
        <rFont val="Aptos Narrow"/>
        <scheme val="minor"/>
      </rPr>
      <t>Total de vendas</t>
    </r>
    <r>
      <rPr>
        <sz val="11"/>
        <color rgb="FF000000"/>
        <rFont val="Aptos Narrow"/>
        <scheme val="minor"/>
      </rPr>
      <t xml:space="preserve"> de </t>
    </r>
    <r>
      <rPr>
        <b/>
        <sz val="11"/>
        <color rgb="FF000000"/>
        <rFont val="Aptos Narrow"/>
        <scheme val="minor"/>
      </rPr>
      <t>planos anuais</t>
    </r>
    <r>
      <rPr>
        <sz val="11"/>
        <color rgb="FF000000"/>
        <rFont val="Aptos Narrow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</si>
  <si>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</si>
  <si>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(Tudo)</t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</si>
  <si>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</si>
  <si>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</si>
  <si>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</si>
  <si>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</si>
  <si>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</si>
  <si>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</si>
  <si>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</si>
  <si>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Pergunta de Negócio 5 - Qual é o faturamento total separado por plano ?</t>
  </si>
  <si>
    <t>Pergunta de negócio 6 - Quem são os 3 clientes que mais gastaram no total?</t>
  </si>
  <si>
    <t xml:space="preserve">   </t>
  </si>
  <si>
    <r>
      <rPr>
        <b/>
        <sz val="15"/>
        <color rgb="FF22C55E"/>
        <rFont val="Segoe UI"/>
      </rPr>
      <t xml:space="preserve"> SUBSCRIPTIONS SALES</t>
    </r>
    <r>
      <rPr>
        <b/>
        <sz val="15"/>
        <color rgb="FF0E2841"/>
        <rFont val="Segoe UI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</si>
</sst>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</numFmts>
  <fonts count="1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sz val="11"/>
      <color rgb="FF22C55E"/>
      <name val="Aptos Narrow"/>
      <family val="2"/>
      <scheme val="minor"/>
    </font>
    <font>
      <b/>
      <sz val="15"/>
      <color rgb="FF22C55E"/>
      <name val="Segoe UI"/>
    </font>
    <font>
      <sz val="15"/>
      <color rgb="FF22C55E"/>
      <name val="Segoe UI"/>
    </font>
    <font>
      <b/>
      <sz val="15"/>
      <color rgb="FF0E2841"/>
      <name val="Segoe UI"/>
    </font>
    <font>
      <b/>
      <sz val="15"/>
      <color theme="3"/>
      <name val="Segoe UI"/>
    </font>
    <font>
      <sz val="15"/>
      <color rgb="FF22C55E"/>
      <name val="Segoe UI"/>
      <charset val="1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B050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color rgb="FFA7A5B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4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2" applyFont="1"/>
    <xf numFmtId="14" fontId="0" fillId="0" borderId="0" xfId="0" applyNumberFormat="1"/>
    <xf numFmtId="0" fontId="0" fillId="0" borderId="0" xfId="0" applyAlignment="1"/>
    <xf numFmtId="0" fontId="0" fillId="9" borderId="0" xfId="0" applyFill="1"/>
    <xf numFmtId="0" fontId="3" fillId="0" borderId="0" xfId="0" applyFont="1"/>
    <xf numFmtId="0" fontId="6" fillId="4" borderId="0" xfId="0" applyFont="1" applyFill="1"/>
    <xf numFmtId="0" fontId="6" fillId="9" borderId="0" xfId="0" applyFont="1" applyFill="1"/>
    <xf numFmtId="164" fontId="0" fillId="7" borderId="0" xfId="0" applyNumberFormat="1" applyFill="1"/>
    <xf numFmtId="0" fontId="12" fillId="0" borderId="0" xfId="0" applyFont="1" applyAlignment="1"/>
    <xf numFmtId="0" fontId="11" fillId="7" borderId="0" xfId="0" applyFont="1" applyFill="1"/>
    <xf numFmtId="0" fontId="8" fillId="7" borderId="2" xfId="1" applyFont="1" applyFill="1" applyBorder="1" applyAlignment="1">
      <alignment horizontal="left" indent="7"/>
    </xf>
    <xf numFmtId="0" fontId="10" fillId="7" borderId="2" xfId="1" applyFont="1" applyFill="1" applyBorder="1"/>
    <xf numFmtId="0" fontId="5" fillId="7" borderId="2" xfId="1" applyFont="1" applyFill="1" applyBorder="1"/>
    <xf numFmtId="0" fontId="6" fillId="10" borderId="0" xfId="0" applyFont="1" applyFill="1"/>
    <xf numFmtId="0" fontId="0" fillId="10" borderId="0" xfId="0" applyFill="1"/>
    <xf numFmtId="0" fontId="15" fillId="7" borderId="0" xfId="0" applyFont="1" applyFill="1"/>
    <xf numFmtId="0" fontId="15" fillId="9" borderId="0" xfId="0" applyFont="1" applyFill="1"/>
    <xf numFmtId="0" fontId="14" fillId="7" borderId="0" xfId="0" applyFont="1" applyFill="1"/>
    <xf numFmtId="0" fontId="6" fillId="7" borderId="0" xfId="0" applyFont="1" applyFill="1"/>
    <xf numFmtId="0" fontId="5" fillId="7" borderId="2" xfId="1" applyFont="1" applyFill="1" applyBorder="1" applyAlignment="1"/>
    <xf numFmtId="0" fontId="0" fillId="7" borderId="0" xfId="0" applyFill="1" applyAlignment="1"/>
    <xf numFmtId="0" fontId="15" fillId="7" borderId="0" xfId="0" applyFont="1" applyFill="1" applyAlignment="1"/>
    <xf numFmtId="0" fontId="4" fillId="8" borderId="0" xfId="3" applyAlignment="1">
      <alignment horizontal="center"/>
    </xf>
    <xf numFmtId="0" fontId="15" fillId="10" borderId="0" xfId="0" applyFont="1" applyFill="1"/>
    <xf numFmtId="165" fontId="0" fillId="9" borderId="0" xfId="0" applyNumberFormat="1" applyFill="1"/>
    <xf numFmtId="0" fontId="16" fillId="7" borderId="0" xfId="0" applyFont="1" applyFill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7"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6"/>
      <tableStyleElement type="headerRow" dxfId="15"/>
    </tableStyle>
  </tableStyles>
  <colors>
    <mruColors>
      <color rgb="FFE8E6E9"/>
      <color rgb="FFA7A5B2"/>
      <color rgb="FF22C55E"/>
      <color rgb="FFF7F8FC"/>
      <color rgb="FF5BF6A8"/>
      <color rgb="FF2AE6B1"/>
      <color rgb="FF000000"/>
      <color rgb="FFE0E0E0"/>
      <color rgb="FFEDEDED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[XBOX_KPI_DASHBOARD_2026.xlsx]C̳álculos!Tabela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CUSTOMERS BY TOTAL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C̳álculos!$B$57:$B$60</c:f>
              <c:strCache>
                <c:ptCount val="3"/>
                <c:pt idx="0">
                  <c:v>Joana Silveira</c:v>
                </c:pt>
                <c:pt idx="1">
                  <c:v>Geraldo Ribeiro</c:v>
                </c:pt>
                <c:pt idx="2">
                  <c:v>Daniela Moura</c:v>
                </c:pt>
              </c:strCache>
            </c:strRef>
          </c:cat>
          <c:val>
            <c:numRef>
              <c:f>C̳álculos!$C$57:$C$60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107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8-4180-B65F-A3D0E4359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9290248"/>
        <c:axId val="1369306632"/>
      </c:barChart>
      <c:catAx>
        <c:axId val="1369290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306632"/>
        <c:crosses val="autoZero"/>
        <c:auto val="1"/>
        <c:lblAlgn val="ctr"/>
        <c:lblOffset val="100"/>
        <c:noMultiLvlLbl val="0"/>
      </c:catAx>
      <c:valAx>
        <c:axId val="1369306632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69290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[XBOX_KPI_DASHBOARD_2026.xlsx]C̳álculos!Tabela dinâmica5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2C55E"/>
          </a:solidFill>
          <a:ln>
            <a:solidFill>
              <a:srgbClr val="22C55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C̳álculos!$B$46:$B$49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C̳álculos!$C$46:$C$49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4-473B-AA79-2BFA2FCDE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2052744"/>
        <c:axId val="1392054792"/>
      </c:barChart>
      <c:catAx>
        <c:axId val="1392052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54792"/>
        <c:crosses val="autoZero"/>
        <c:auto val="1"/>
        <c:lblAlgn val="ctr"/>
        <c:lblOffset val="100"/>
        <c:noMultiLvlLbl val="0"/>
      </c:catAx>
      <c:valAx>
        <c:axId val="139205479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92052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[XBOX_KPI_DASHBOARD_2026.xlsx]C̳álculos!tbl_annual_total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SUBSCRIPTIONS BY SEASON PASS</a:t>
            </a:r>
          </a:p>
        </c:rich>
      </c:tx>
      <c:layout>
        <c:manualLayout>
          <c:xMode val="edge"/>
          <c:yMode val="edge"/>
          <c:x val="0.30198805831651954"/>
          <c:y val="8.62089810486930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4-48DF-AF6B-3CFB8EA39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6443528"/>
        <c:axId val="1086499848"/>
      </c:barChart>
      <c:catAx>
        <c:axId val="1086443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499848"/>
        <c:crosses val="autoZero"/>
        <c:auto val="1"/>
        <c:lblAlgn val="ctr"/>
        <c:lblOffset val="100"/>
        <c:noMultiLvlLbl val="0"/>
      </c:catAx>
      <c:valAx>
        <c:axId val="108649984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86443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image" Target="../media/image9.png"/><Relationship Id="rId7" Type="http://schemas.openxmlformats.org/officeDocument/2006/relationships/chart" Target="../charts/chart2.xml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chart" Target="../charts/chart1.xml"/><Relationship Id="rId5" Type="http://schemas.openxmlformats.org/officeDocument/2006/relationships/image" Target="../media/image6.png"/><Relationship Id="rId4" Type="http://schemas.openxmlformats.org/officeDocument/2006/relationships/image" Target="../media/image10.sv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15</xdr:row>
      <xdr:rowOff>9525</xdr:rowOff>
    </xdr:from>
    <xdr:to>
      <xdr:col>6</xdr:col>
      <xdr:colOff>38100</xdr:colOff>
      <xdr:row>20</xdr:row>
      <xdr:rowOff>79248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  <a:ext uri="{147F2762-F138-4A5C-976F-8EAC2B608ADB}">
              <a16:predDERef xmlns:a16="http://schemas.microsoft.com/office/drawing/2014/main" pre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30194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0</xdr:row>
      <xdr:rowOff>123825</xdr:rowOff>
    </xdr:from>
    <xdr:to>
      <xdr:col>2</xdr:col>
      <xdr:colOff>409575</xdr:colOff>
      <xdr:row>2</xdr:row>
      <xdr:rowOff>95250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C7494D24-13AB-C1B1-3165-10BCAED462CB}"/>
            </a:ext>
            <a:ext uri="{147F2762-F138-4A5C-976F-8EAC2B608ADB}">
              <a16:predDERef xmlns:a16="http://schemas.microsoft.com/office/drawing/2014/main" pred="{F0CCCA9A-C160-43DA-A09C-08D07D3F60FE}"/>
            </a:ext>
          </a:extLst>
        </xdr:cNvPr>
        <xdr:cNvSpPr/>
      </xdr:nvSpPr>
      <xdr:spPr>
        <a:xfrm>
          <a:off x="1828800" y="123825"/>
          <a:ext cx="561975" cy="514350"/>
        </a:xfrm>
        <a:prstGeom prst="ellipse">
          <a:avLst/>
        </a:prstGeom>
        <a:solidFill>
          <a:schemeClr val="bg1"/>
        </a:solidFill>
        <a:ln>
          <a:solidFill>
            <a:srgbClr val="22C55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581025</xdr:colOff>
      <xdr:row>0</xdr:row>
      <xdr:rowOff>114300</xdr:rowOff>
    </xdr:from>
    <xdr:to>
      <xdr:col>1</xdr:col>
      <xdr:colOff>447675</xdr:colOff>
      <xdr:row>2</xdr:row>
      <xdr:rowOff>238125</xdr:rowOff>
    </xdr:to>
    <xdr:sp macro="" textlink="">
      <xdr:nvSpPr>
        <xdr:cNvPr id="59" name="Retângulo Arredondado 58">
          <a:extLst>
            <a:ext uri="{FF2B5EF4-FFF2-40B4-BE49-F238E27FC236}">
              <a16:creationId xmlns:a16="http://schemas.microsoft.com/office/drawing/2014/main" id="{1DE5100F-D446-8E4A-5D09-B201F9310F8B}"/>
            </a:ext>
            <a:ext uri="{147F2762-F138-4A5C-976F-8EAC2B608ADB}">
              <a16:predDERef xmlns:a16="http://schemas.microsoft.com/office/drawing/2014/main" pred="{C7494D24-13AB-C1B1-3165-10BCAED462CB}"/>
            </a:ext>
          </a:extLst>
        </xdr:cNvPr>
        <xdr:cNvSpPr/>
      </xdr:nvSpPr>
      <xdr:spPr>
        <a:xfrm>
          <a:off x="581025" y="114300"/>
          <a:ext cx="781050" cy="666750"/>
        </a:xfrm>
        <a:prstGeom prst="roundRect">
          <a:avLst/>
        </a:prstGeom>
        <a:solidFill>
          <a:srgbClr val="A7A5B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absolute">
    <xdr:from>
      <xdr:col>0</xdr:col>
      <xdr:colOff>0</xdr:colOff>
      <xdr:row>8</xdr:row>
      <xdr:rowOff>9525</xdr:rowOff>
    </xdr:from>
    <xdr:to>
      <xdr:col>1</xdr:col>
      <xdr:colOff>1057275</xdr:colOff>
      <xdr:row>20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  <a:ext uri="{147F2762-F138-4A5C-976F-8EAC2B608ADB}">
                  <a16:predDERef xmlns:a16="http://schemas.microsoft.com/office/drawing/2014/main" pred="{1DE5100F-D446-8E4A-5D09-B201F9310F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523875</xdr:colOff>
      <xdr:row>2</xdr:row>
      <xdr:rowOff>161925</xdr:rowOff>
    </xdr:from>
    <xdr:to>
      <xdr:col>5</xdr:col>
      <xdr:colOff>419100</xdr:colOff>
      <xdr:row>10</xdr:row>
      <xdr:rowOff>85725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  <a:ext uri="{147F2762-F138-4A5C-976F-8EAC2B608ADB}">
              <a16:predDERef xmlns:a16="http://schemas.microsoft.com/office/drawing/2014/main" pred="{F85F9B95-DC6C-4715-AA04-6997CB6877D4}"/>
            </a:ext>
          </a:extLst>
        </xdr:cNvPr>
        <xdr:cNvGrpSpPr/>
      </xdr:nvGrpSpPr>
      <xdr:grpSpPr>
        <a:xfrm>
          <a:off x="2505075" y="704850"/>
          <a:ext cx="4000500" cy="1152525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 w="7620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 w="7620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 w="7620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5</xdr:col>
      <xdr:colOff>514350</xdr:colOff>
      <xdr:row>2</xdr:row>
      <xdr:rowOff>161925</xdr:rowOff>
    </xdr:from>
    <xdr:to>
      <xdr:col>10</xdr:col>
      <xdr:colOff>485775</xdr:colOff>
      <xdr:row>10</xdr:row>
      <xdr:rowOff>19050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  <a:ext uri="{147F2762-F138-4A5C-976F-8EAC2B608ADB}">
              <a16:predDERef xmlns:a16="http://schemas.microsoft.com/office/drawing/2014/main" pred="{876A8D1C-2608-8C6C-89D4-BAA9C31F449C}"/>
            </a:ext>
          </a:extLst>
        </xdr:cNvPr>
        <xdr:cNvGrpSpPr/>
      </xdr:nvGrpSpPr>
      <xdr:grpSpPr>
        <a:xfrm>
          <a:off x="6600825" y="704850"/>
          <a:ext cx="3876675" cy="1085850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133350</xdr:colOff>
      <xdr:row>4</xdr:row>
      <xdr:rowOff>9525</xdr:rowOff>
    </xdr:from>
    <xdr:to>
      <xdr:col>1</xdr:col>
      <xdr:colOff>971550</xdr:colOff>
      <xdr:row>6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7E0DE4-D389-FE52-A274-004D597293E6}"/>
            </a:ext>
            <a:ext uri="{147F2762-F138-4A5C-976F-8EAC2B608ADB}">
              <a16:predDERef xmlns:a16="http://schemas.microsoft.com/office/drawing/2014/main" pred="{A41F36A7-AB9C-196A-291F-D90799A3B69C}"/>
            </a:ext>
          </a:extLst>
        </xdr:cNvPr>
        <xdr:cNvSpPr txBox="1"/>
      </xdr:nvSpPr>
      <xdr:spPr>
        <a:xfrm>
          <a:off x="133350" y="904875"/>
          <a:ext cx="1752600" cy="3048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 b="1">
              <a:solidFill>
                <a:schemeClr val="bg1"/>
              </a:solidFill>
              <a:latin typeface="+mn-lt"/>
              <a:ea typeface="+mn-lt"/>
              <a:cs typeface="+mn-lt"/>
            </a:rPr>
            <a:t>&gt; Bem - vindo, Marcos Venicius</a:t>
          </a:r>
        </a:p>
      </xdr:txBody>
    </xdr:sp>
    <xdr:clientData/>
  </xdr:twoCellAnchor>
  <xdr:twoCellAnchor>
    <xdr:from>
      <xdr:col>0</xdr:col>
      <xdr:colOff>609600</xdr:colOff>
      <xdr:row>0</xdr:row>
      <xdr:rowOff>152400</xdr:rowOff>
    </xdr:from>
    <xdr:to>
      <xdr:col>1</xdr:col>
      <xdr:colOff>400050</xdr:colOff>
      <xdr:row>2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5E23D82-6A71-4692-9D0B-7BA14EA3A720}"/>
            </a:ext>
            <a:ext uri="{147F2762-F138-4A5C-976F-8EAC2B608ADB}">
              <a16:predDERef xmlns:a16="http://schemas.microsoft.com/office/drawing/2014/main" pred="{477E0DE4-D389-FE52-A274-004D597293E6}"/>
            </a:ext>
          </a:extLst>
        </xdr:cNvPr>
        <xdr:cNvSpPr/>
      </xdr:nvSpPr>
      <xdr:spPr>
        <a:xfrm>
          <a:off x="609600" y="152400"/>
          <a:ext cx="704850" cy="60007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>
    <xdr:from>
      <xdr:col>2</xdr:col>
      <xdr:colOff>447675</xdr:colOff>
      <xdr:row>32</xdr:row>
      <xdr:rowOff>180975</xdr:rowOff>
    </xdr:from>
    <xdr:to>
      <xdr:col>10</xdr:col>
      <xdr:colOff>438150</xdr:colOff>
      <xdr:row>44</xdr:row>
      <xdr:rowOff>114300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1A37D8DD-8EFE-48A3-6044-EE3032272397}"/>
            </a:ext>
            <a:ext uri="{147F2762-F138-4A5C-976F-8EAC2B608ADB}">
              <a16:predDERef xmlns:a16="http://schemas.microsoft.com/office/drawing/2014/main" pred="{35E23D82-6A71-4692-9D0B-7BA14EA3A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-9525</xdr:colOff>
      <xdr:row>33</xdr:row>
      <xdr:rowOff>28575</xdr:rowOff>
    </xdr:from>
    <xdr:to>
      <xdr:col>1</xdr:col>
      <xdr:colOff>1019175</xdr:colOff>
      <xdr:row>44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Subscription Type 1">
              <a:extLst>
                <a:ext uri="{FF2B5EF4-FFF2-40B4-BE49-F238E27FC236}">
                  <a16:creationId xmlns:a16="http://schemas.microsoft.com/office/drawing/2014/main" id="{94EB7AB3-57D5-697C-20ED-2B32C630711A}"/>
                </a:ext>
                <a:ext uri="{147F2762-F138-4A5C-976F-8EAC2B608ADB}">
                  <a16:predDERef xmlns:a16="http://schemas.microsoft.com/office/drawing/2014/main" pred="{1A37D8DD-8EFE-48A3-6044-EE30322723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6477000"/>
              <a:ext cx="1914525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28575</xdr:colOff>
      <xdr:row>21</xdr:row>
      <xdr:rowOff>171450</xdr:rowOff>
    </xdr:from>
    <xdr:to>
      <xdr:col>1</xdr:col>
      <xdr:colOff>1019175</xdr:colOff>
      <xdr:row>31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Plan">
              <a:extLst>
                <a:ext uri="{FF2B5EF4-FFF2-40B4-BE49-F238E27FC236}">
                  <a16:creationId xmlns:a16="http://schemas.microsoft.com/office/drawing/2014/main" id="{C0CA2C9E-C1E9-1B26-C33F-E506EB0C7187}"/>
                </a:ext>
                <a:ext uri="{147F2762-F138-4A5C-976F-8EAC2B608ADB}">
                  <a16:predDERef xmlns:a16="http://schemas.microsoft.com/office/drawing/2014/main" pred="{94EB7AB3-57D5-697C-20ED-2B32C63071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4029075"/>
              <a:ext cx="1905000" cy="2038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476250</xdr:colOff>
      <xdr:row>21</xdr:row>
      <xdr:rowOff>38100</xdr:rowOff>
    </xdr:from>
    <xdr:to>
      <xdr:col>10</xdr:col>
      <xdr:colOff>457200</xdr:colOff>
      <xdr:row>32</xdr:row>
      <xdr:rowOff>19050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5CFB6E33-094B-B780-BE4F-5BFCA61D99C0}"/>
            </a:ext>
            <a:ext uri="{147F2762-F138-4A5C-976F-8EAC2B608ADB}">
              <a16:predDERef xmlns:a16="http://schemas.microsoft.com/office/drawing/2014/main" pred="{C0CA2C9E-C1E9-1B26-C33F-E506EB0C7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981075</xdr:colOff>
      <xdr:row>0</xdr:row>
      <xdr:rowOff>171450</xdr:rowOff>
    </xdr:from>
    <xdr:to>
      <xdr:col>2</xdr:col>
      <xdr:colOff>1228725</xdr:colOff>
      <xdr:row>2</xdr:row>
      <xdr:rowOff>28575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6D905108-E1FE-45A1-A5A4-0D878F14C720}"/>
            </a:ext>
            <a:ext uri="{147F2762-F138-4A5C-976F-8EAC2B608ADB}">
              <a16:predDERef xmlns:a16="http://schemas.microsoft.com/office/drawing/2014/main" pred="{3449EAE6-D9FC-782E-E6CA-4334E9291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95475" y="171450"/>
          <a:ext cx="1314450" cy="400050"/>
        </a:xfrm>
        <a:prstGeom prst="rect">
          <a:avLst/>
        </a:prstGeom>
      </xdr:spPr>
    </xdr:pic>
    <xdr:clientData/>
  </xdr:twoCellAnchor>
  <xdr:twoCellAnchor>
    <xdr:from>
      <xdr:col>2</xdr:col>
      <xdr:colOff>504825</xdr:colOff>
      <xdr:row>10</xdr:row>
      <xdr:rowOff>95250</xdr:rowOff>
    </xdr:from>
    <xdr:to>
      <xdr:col>10</xdr:col>
      <xdr:colOff>485775</xdr:colOff>
      <xdr:row>20</xdr:row>
      <xdr:rowOff>57150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F0CCCA9A-C160-43DA-A09C-08D07D3F60FE}"/>
            </a:ext>
            <a:ext uri="{147F2762-F138-4A5C-976F-8EAC2B608ADB}">
              <a16:predDERef xmlns:a16="http://schemas.microsoft.com/office/drawing/2014/main" pred="{6D905108-E1FE-45A1-A5A4-0D878F14C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352425</xdr:colOff>
      <xdr:row>1</xdr:row>
      <xdr:rowOff>304800</xdr:rowOff>
    </xdr:from>
    <xdr:to>
      <xdr:col>11</xdr:col>
      <xdr:colOff>0</xdr:colOff>
      <xdr:row>2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6D3DDA8-0A0A-A34E-8977-9509EE08F5BA}"/>
            </a:ext>
            <a:ext uri="{147F2762-F138-4A5C-976F-8EAC2B608ADB}">
              <a16:predDERef xmlns:a16="http://schemas.microsoft.com/office/drawing/2014/main" pred="{F0CCCA9A-C160-43DA-A09C-08D07D3F60FE}"/>
            </a:ext>
          </a:extLst>
        </xdr:cNvPr>
        <xdr:cNvSpPr txBox="1"/>
      </xdr:nvSpPr>
      <xdr:spPr>
        <a:xfrm>
          <a:off x="8382000" y="495300"/>
          <a:ext cx="2276475" cy="1905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>
              <a:solidFill>
                <a:schemeClr val="bg2">
                  <a:lumMod val="25000"/>
                </a:schemeClr>
              </a:solidFill>
              <a:latin typeface="+mn-lt"/>
              <a:ea typeface="+mn-lt"/>
              <a:cs typeface="+mn-lt"/>
            </a:rPr>
            <a:t>Last Update: 04/19/2026 08:25 PM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s v="Yes"/>
    <x v="0"/>
    <s v="Yes"/>
    <n v="20"/>
    <n v="5"/>
    <n v="60"/>
  </r>
  <r>
    <n v="3232"/>
    <x v="1"/>
    <x v="1"/>
    <x v="1"/>
    <x v="1"/>
    <n v="5"/>
    <x v="1"/>
    <s v="No"/>
    <x v="1"/>
    <s v="No"/>
    <n v="0"/>
    <n v="0"/>
    <n v="5"/>
  </r>
  <r>
    <n v="3233"/>
    <x v="2"/>
    <x v="2"/>
    <x v="2"/>
    <x v="0"/>
    <n v="10"/>
    <x v="2"/>
    <s v="No"/>
    <x v="1"/>
    <s v="Yes"/>
    <n v="20"/>
    <n v="10"/>
    <n v="20"/>
  </r>
  <r>
    <n v="3234"/>
    <x v="3"/>
    <x v="0"/>
    <x v="3"/>
    <x v="1"/>
    <n v="15"/>
    <x v="0"/>
    <s v="Yes"/>
    <x v="0"/>
    <s v="Yes"/>
    <n v="20"/>
    <n v="3"/>
    <n v="62"/>
  </r>
  <r>
    <n v="3235"/>
    <x v="4"/>
    <x v="1"/>
    <x v="4"/>
    <x v="0"/>
    <n v="5"/>
    <x v="0"/>
    <s v="No"/>
    <x v="1"/>
    <s v="No"/>
    <n v="0"/>
    <n v="1"/>
    <n v="4"/>
  </r>
  <r>
    <n v="3236"/>
    <x v="5"/>
    <x v="2"/>
    <x v="5"/>
    <x v="1"/>
    <n v="10"/>
    <x v="0"/>
    <s v="No"/>
    <x v="1"/>
    <s v="Yes"/>
    <n v="20"/>
    <n v="2"/>
    <n v="28"/>
  </r>
  <r>
    <n v="3237"/>
    <x v="6"/>
    <x v="0"/>
    <x v="6"/>
    <x v="0"/>
    <n v="15"/>
    <x v="2"/>
    <s v="Yes"/>
    <x v="0"/>
    <s v="Yes"/>
    <n v="20"/>
    <n v="10"/>
    <n v="55"/>
  </r>
  <r>
    <n v="3238"/>
    <x v="7"/>
    <x v="1"/>
    <x v="7"/>
    <x v="0"/>
    <n v="5"/>
    <x v="1"/>
    <s v="No"/>
    <x v="1"/>
    <s v="No"/>
    <n v="0"/>
    <n v="0"/>
    <n v="5"/>
  </r>
  <r>
    <n v="3239"/>
    <x v="8"/>
    <x v="0"/>
    <x v="4"/>
    <x v="1"/>
    <n v="15"/>
    <x v="0"/>
    <s v="Yes"/>
    <x v="0"/>
    <s v="Yes"/>
    <n v="20"/>
    <n v="5"/>
    <n v="60"/>
  </r>
  <r>
    <n v="3240"/>
    <x v="9"/>
    <x v="2"/>
    <x v="8"/>
    <x v="0"/>
    <n v="10"/>
    <x v="2"/>
    <s v="No"/>
    <x v="1"/>
    <s v="Yes"/>
    <n v="20"/>
    <n v="15"/>
    <n v="15"/>
  </r>
  <r>
    <n v="3241"/>
    <x v="10"/>
    <x v="1"/>
    <x v="9"/>
    <x v="1"/>
    <n v="5"/>
    <x v="0"/>
    <s v="No"/>
    <x v="1"/>
    <s v="No"/>
    <n v="0"/>
    <n v="1"/>
    <n v="4"/>
  </r>
  <r>
    <n v="3242"/>
    <x v="11"/>
    <x v="0"/>
    <x v="10"/>
    <x v="0"/>
    <n v="15"/>
    <x v="1"/>
    <s v="Yes"/>
    <x v="0"/>
    <s v="Yes"/>
    <n v="20"/>
    <n v="20"/>
    <n v="45"/>
  </r>
  <r>
    <n v="3243"/>
    <x v="12"/>
    <x v="2"/>
    <x v="11"/>
    <x v="1"/>
    <n v="10"/>
    <x v="0"/>
    <s v="No"/>
    <x v="1"/>
    <s v="Yes"/>
    <n v="20"/>
    <n v="10"/>
    <n v="20"/>
  </r>
  <r>
    <n v="3244"/>
    <x v="13"/>
    <x v="1"/>
    <x v="12"/>
    <x v="0"/>
    <n v="5"/>
    <x v="2"/>
    <s v="No"/>
    <x v="1"/>
    <s v="No"/>
    <n v="0"/>
    <n v="0"/>
    <n v="5"/>
  </r>
  <r>
    <n v="3245"/>
    <x v="14"/>
    <x v="0"/>
    <x v="13"/>
    <x v="1"/>
    <n v="15"/>
    <x v="0"/>
    <s v="Yes"/>
    <x v="0"/>
    <s v="Yes"/>
    <n v="20"/>
    <n v="8"/>
    <n v="57"/>
  </r>
  <r>
    <n v="3246"/>
    <x v="15"/>
    <x v="2"/>
    <x v="14"/>
    <x v="0"/>
    <n v="10"/>
    <x v="1"/>
    <s v="No"/>
    <x v="1"/>
    <s v="Yes"/>
    <n v="20"/>
    <n v="12"/>
    <n v="18"/>
  </r>
  <r>
    <n v="3247"/>
    <x v="16"/>
    <x v="1"/>
    <x v="15"/>
    <x v="1"/>
    <n v="5"/>
    <x v="0"/>
    <s v="No"/>
    <x v="1"/>
    <s v="No"/>
    <n v="0"/>
    <n v="2"/>
    <n v="3"/>
  </r>
  <r>
    <n v="3248"/>
    <x v="17"/>
    <x v="0"/>
    <x v="16"/>
    <x v="0"/>
    <n v="15"/>
    <x v="2"/>
    <s v="Yes"/>
    <x v="0"/>
    <s v="Yes"/>
    <n v="20"/>
    <n v="7"/>
    <n v="58"/>
  </r>
  <r>
    <n v="3249"/>
    <x v="18"/>
    <x v="2"/>
    <x v="17"/>
    <x v="1"/>
    <n v="10"/>
    <x v="0"/>
    <s v="No"/>
    <x v="1"/>
    <s v="Yes"/>
    <n v="20"/>
    <n v="5"/>
    <n v="25"/>
  </r>
  <r>
    <n v="3250"/>
    <x v="19"/>
    <x v="1"/>
    <x v="18"/>
    <x v="0"/>
    <n v="5"/>
    <x v="1"/>
    <s v="No"/>
    <x v="1"/>
    <s v="No"/>
    <n v="0"/>
    <n v="0"/>
    <n v="5"/>
  </r>
  <r>
    <n v="3251"/>
    <x v="20"/>
    <x v="0"/>
    <x v="19"/>
    <x v="1"/>
    <n v="15"/>
    <x v="0"/>
    <s v="Yes"/>
    <x v="0"/>
    <s v="Yes"/>
    <n v="20"/>
    <n v="3"/>
    <n v="62"/>
  </r>
  <r>
    <n v="3252"/>
    <x v="21"/>
    <x v="2"/>
    <x v="20"/>
    <x v="0"/>
    <n v="10"/>
    <x v="2"/>
    <s v="No"/>
    <x v="1"/>
    <s v="Yes"/>
    <n v="20"/>
    <n v="15"/>
    <n v="15"/>
  </r>
  <r>
    <n v="3253"/>
    <x v="22"/>
    <x v="1"/>
    <x v="21"/>
    <x v="1"/>
    <n v="5"/>
    <x v="0"/>
    <s v="No"/>
    <x v="1"/>
    <s v="No"/>
    <n v="0"/>
    <n v="1"/>
    <n v="4"/>
  </r>
  <r>
    <n v="3254"/>
    <x v="23"/>
    <x v="0"/>
    <x v="22"/>
    <x v="0"/>
    <n v="15"/>
    <x v="1"/>
    <s v="Yes"/>
    <x v="0"/>
    <s v="Yes"/>
    <n v="20"/>
    <n v="20"/>
    <n v="45"/>
  </r>
  <r>
    <n v="3255"/>
    <x v="24"/>
    <x v="2"/>
    <x v="23"/>
    <x v="1"/>
    <n v="10"/>
    <x v="0"/>
    <s v="No"/>
    <x v="1"/>
    <s v="Yes"/>
    <n v="20"/>
    <n v="10"/>
    <n v="20"/>
  </r>
  <r>
    <n v="3256"/>
    <x v="25"/>
    <x v="1"/>
    <x v="24"/>
    <x v="0"/>
    <n v="5"/>
    <x v="2"/>
    <s v="No"/>
    <x v="1"/>
    <s v="No"/>
    <n v="0"/>
    <n v="0"/>
    <n v="5"/>
  </r>
  <r>
    <n v="3257"/>
    <x v="26"/>
    <x v="0"/>
    <x v="25"/>
    <x v="1"/>
    <n v="15"/>
    <x v="0"/>
    <s v="Yes"/>
    <x v="0"/>
    <s v="Yes"/>
    <n v="20"/>
    <n v="5"/>
    <n v="60"/>
  </r>
  <r>
    <n v="3258"/>
    <x v="27"/>
    <x v="2"/>
    <x v="26"/>
    <x v="0"/>
    <n v="10"/>
    <x v="1"/>
    <s v="No"/>
    <x v="1"/>
    <s v="Yes"/>
    <n v="20"/>
    <n v="15"/>
    <n v="15"/>
  </r>
  <r>
    <n v="3259"/>
    <x v="28"/>
    <x v="1"/>
    <x v="27"/>
    <x v="1"/>
    <n v="5"/>
    <x v="0"/>
    <s v="No"/>
    <x v="1"/>
    <s v="No"/>
    <n v="0"/>
    <n v="1"/>
    <n v="4"/>
  </r>
  <r>
    <n v="3260"/>
    <x v="29"/>
    <x v="0"/>
    <x v="28"/>
    <x v="0"/>
    <n v="15"/>
    <x v="2"/>
    <s v="Yes"/>
    <x v="0"/>
    <s v="Yes"/>
    <n v="20"/>
    <n v="7"/>
    <n v="58"/>
  </r>
  <r>
    <n v="3261"/>
    <x v="30"/>
    <x v="2"/>
    <x v="29"/>
    <x v="1"/>
    <n v="10"/>
    <x v="0"/>
    <s v="No"/>
    <x v="1"/>
    <s v="Yes"/>
    <n v="20"/>
    <n v="10"/>
    <n v="20"/>
  </r>
  <r>
    <n v="3262"/>
    <x v="31"/>
    <x v="1"/>
    <x v="30"/>
    <x v="0"/>
    <n v="5"/>
    <x v="1"/>
    <s v="No"/>
    <x v="1"/>
    <s v="No"/>
    <n v="0"/>
    <n v="0"/>
    <n v="5"/>
  </r>
  <r>
    <n v="3263"/>
    <x v="32"/>
    <x v="0"/>
    <x v="31"/>
    <x v="1"/>
    <n v="15"/>
    <x v="0"/>
    <s v="Yes"/>
    <x v="0"/>
    <s v="Yes"/>
    <n v="20"/>
    <n v="3"/>
    <n v="62"/>
  </r>
  <r>
    <n v="3264"/>
    <x v="33"/>
    <x v="2"/>
    <x v="32"/>
    <x v="0"/>
    <n v="10"/>
    <x v="2"/>
    <s v="No"/>
    <x v="1"/>
    <s v="Yes"/>
    <n v="20"/>
    <n v="15"/>
    <n v="15"/>
  </r>
  <r>
    <n v="3265"/>
    <x v="34"/>
    <x v="1"/>
    <x v="33"/>
    <x v="1"/>
    <n v="5"/>
    <x v="0"/>
    <s v="No"/>
    <x v="1"/>
    <s v="No"/>
    <n v="0"/>
    <n v="1"/>
    <n v="4"/>
  </r>
  <r>
    <n v="3266"/>
    <x v="35"/>
    <x v="1"/>
    <x v="34"/>
    <x v="0"/>
    <n v="5"/>
    <x v="0"/>
    <s v="No"/>
    <x v="1"/>
    <s v="No"/>
    <n v="0"/>
    <n v="0"/>
    <n v="5"/>
  </r>
  <r>
    <n v="3267"/>
    <x v="36"/>
    <x v="0"/>
    <x v="35"/>
    <x v="1"/>
    <n v="15"/>
    <x v="2"/>
    <s v="Yes"/>
    <x v="0"/>
    <s v="Yes"/>
    <n v="20"/>
    <n v="7"/>
    <n v="58"/>
  </r>
  <r>
    <n v="3268"/>
    <x v="37"/>
    <x v="2"/>
    <x v="36"/>
    <x v="0"/>
    <n v="10"/>
    <x v="1"/>
    <s v="No"/>
    <x v="1"/>
    <s v="Yes"/>
    <n v="20"/>
    <n v="10"/>
    <n v="20"/>
  </r>
  <r>
    <n v="3269"/>
    <x v="38"/>
    <x v="1"/>
    <x v="37"/>
    <x v="1"/>
    <n v="5"/>
    <x v="2"/>
    <s v="No"/>
    <x v="1"/>
    <s v="No"/>
    <n v="0"/>
    <n v="1"/>
    <n v="4"/>
  </r>
  <r>
    <n v="3270"/>
    <x v="39"/>
    <x v="0"/>
    <x v="38"/>
    <x v="0"/>
    <n v="15"/>
    <x v="0"/>
    <s v="Yes"/>
    <x v="0"/>
    <s v="Yes"/>
    <n v="20"/>
    <n v="15"/>
    <n v="50"/>
  </r>
  <r>
    <n v="3271"/>
    <x v="40"/>
    <x v="2"/>
    <x v="39"/>
    <x v="1"/>
    <n v="10"/>
    <x v="0"/>
    <s v="No"/>
    <x v="1"/>
    <s v="Yes"/>
    <n v="20"/>
    <n v="5"/>
    <n v="25"/>
  </r>
  <r>
    <n v="3272"/>
    <x v="41"/>
    <x v="1"/>
    <x v="40"/>
    <x v="0"/>
    <n v="5"/>
    <x v="1"/>
    <s v="No"/>
    <x v="1"/>
    <s v="No"/>
    <n v="0"/>
    <n v="0"/>
    <n v="5"/>
  </r>
  <r>
    <n v="3273"/>
    <x v="42"/>
    <x v="0"/>
    <x v="41"/>
    <x v="1"/>
    <n v="15"/>
    <x v="2"/>
    <s v="Yes"/>
    <x v="0"/>
    <s v="Yes"/>
    <n v="20"/>
    <n v="20"/>
    <n v="45"/>
  </r>
  <r>
    <n v="3274"/>
    <x v="43"/>
    <x v="2"/>
    <x v="42"/>
    <x v="0"/>
    <n v="10"/>
    <x v="2"/>
    <s v="No"/>
    <x v="1"/>
    <s v="Yes"/>
    <n v="20"/>
    <n v="12"/>
    <n v="18"/>
  </r>
  <r>
    <n v="3275"/>
    <x v="44"/>
    <x v="1"/>
    <x v="43"/>
    <x v="1"/>
    <n v="5"/>
    <x v="0"/>
    <s v="No"/>
    <x v="1"/>
    <s v="No"/>
    <n v="0"/>
    <n v="2"/>
    <n v="3"/>
  </r>
  <r>
    <n v="3276"/>
    <x v="45"/>
    <x v="0"/>
    <x v="44"/>
    <x v="0"/>
    <n v="15"/>
    <x v="1"/>
    <s v="Yes"/>
    <x v="0"/>
    <s v="Yes"/>
    <n v="20"/>
    <n v="5"/>
    <n v="60"/>
  </r>
  <r>
    <n v="3277"/>
    <x v="46"/>
    <x v="2"/>
    <x v="45"/>
    <x v="1"/>
    <n v="10"/>
    <x v="0"/>
    <s v="No"/>
    <x v="1"/>
    <s v="Yes"/>
    <n v="20"/>
    <n v="10"/>
    <n v="20"/>
  </r>
  <r>
    <n v="3278"/>
    <x v="47"/>
    <x v="1"/>
    <x v="46"/>
    <x v="0"/>
    <n v="5"/>
    <x v="2"/>
    <s v="No"/>
    <x v="1"/>
    <s v="No"/>
    <n v="0"/>
    <n v="0"/>
    <n v="5"/>
  </r>
  <r>
    <n v="3279"/>
    <x v="48"/>
    <x v="0"/>
    <x v="47"/>
    <x v="1"/>
    <n v="15"/>
    <x v="0"/>
    <s v="Yes"/>
    <x v="0"/>
    <s v="Yes"/>
    <n v="20"/>
    <n v="3"/>
    <n v="62"/>
  </r>
  <r>
    <n v="3280"/>
    <x v="49"/>
    <x v="2"/>
    <x v="48"/>
    <x v="0"/>
    <n v="10"/>
    <x v="1"/>
    <s v="No"/>
    <x v="1"/>
    <s v="Yes"/>
    <n v="20"/>
    <n v="15"/>
    <n v="15"/>
  </r>
  <r>
    <n v="3281"/>
    <x v="50"/>
    <x v="1"/>
    <x v="49"/>
    <x v="1"/>
    <n v="5"/>
    <x v="0"/>
    <s v="No"/>
    <x v="1"/>
    <s v="No"/>
    <n v="0"/>
    <n v="1"/>
    <n v="4"/>
  </r>
  <r>
    <n v="3282"/>
    <x v="51"/>
    <x v="0"/>
    <x v="50"/>
    <x v="0"/>
    <n v="15"/>
    <x v="2"/>
    <s v="Yes"/>
    <x v="0"/>
    <s v="Yes"/>
    <n v="20"/>
    <n v="7"/>
    <n v="58"/>
  </r>
  <r>
    <n v="3283"/>
    <x v="52"/>
    <x v="2"/>
    <x v="51"/>
    <x v="1"/>
    <n v="10"/>
    <x v="0"/>
    <s v="No"/>
    <x v="1"/>
    <s v="Yes"/>
    <n v="20"/>
    <n v="10"/>
    <n v="20"/>
  </r>
  <r>
    <n v="3284"/>
    <x v="53"/>
    <x v="1"/>
    <x v="52"/>
    <x v="0"/>
    <n v="5"/>
    <x v="1"/>
    <s v="No"/>
    <x v="1"/>
    <s v="No"/>
    <n v="0"/>
    <n v="0"/>
    <n v="5"/>
  </r>
  <r>
    <n v="3285"/>
    <x v="54"/>
    <x v="0"/>
    <x v="53"/>
    <x v="1"/>
    <n v="15"/>
    <x v="0"/>
    <s v="Yes"/>
    <x v="0"/>
    <s v="Yes"/>
    <n v="20"/>
    <n v="20"/>
    <n v="45"/>
  </r>
  <r>
    <n v="3286"/>
    <x v="55"/>
    <x v="2"/>
    <x v="54"/>
    <x v="0"/>
    <n v="10"/>
    <x v="2"/>
    <s v="No"/>
    <x v="1"/>
    <s v="Yes"/>
    <n v="20"/>
    <n v="15"/>
    <n v="15"/>
  </r>
  <r>
    <n v="3287"/>
    <x v="56"/>
    <x v="1"/>
    <x v="55"/>
    <x v="1"/>
    <n v="5"/>
    <x v="0"/>
    <s v="No"/>
    <x v="1"/>
    <s v="No"/>
    <n v="0"/>
    <n v="1"/>
    <n v="4"/>
  </r>
  <r>
    <n v="3288"/>
    <x v="57"/>
    <x v="0"/>
    <x v="56"/>
    <x v="0"/>
    <n v="15"/>
    <x v="1"/>
    <s v="Yes"/>
    <x v="0"/>
    <s v="Yes"/>
    <n v="20"/>
    <n v="3"/>
    <n v="62"/>
  </r>
  <r>
    <n v="3289"/>
    <x v="58"/>
    <x v="2"/>
    <x v="57"/>
    <x v="1"/>
    <n v="10"/>
    <x v="0"/>
    <s v="No"/>
    <x v="1"/>
    <s v="Yes"/>
    <n v="20"/>
    <n v="10"/>
    <n v="20"/>
  </r>
  <r>
    <n v="3290"/>
    <x v="59"/>
    <x v="1"/>
    <x v="58"/>
    <x v="0"/>
    <n v="5"/>
    <x v="2"/>
    <s v="No"/>
    <x v="1"/>
    <s v="No"/>
    <n v="0"/>
    <n v="0"/>
    <n v="5"/>
  </r>
  <r>
    <n v="3291"/>
    <x v="60"/>
    <x v="0"/>
    <x v="59"/>
    <x v="1"/>
    <n v="15"/>
    <x v="0"/>
    <s v="Yes"/>
    <x v="0"/>
    <s v="Yes"/>
    <n v="20"/>
    <n v="5"/>
    <n v="60"/>
  </r>
  <r>
    <n v="3292"/>
    <x v="61"/>
    <x v="2"/>
    <x v="60"/>
    <x v="0"/>
    <n v="10"/>
    <x v="1"/>
    <s v="No"/>
    <x v="1"/>
    <s v="Yes"/>
    <n v="20"/>
    <n v="15"/>
    <n v="15"/>
  </r>
  <r>
    <n v="3293"/>
    <x v="62"/>
    <x v="1"/>
    <x v="61"/>
    <x v="1"/>
    <n v="5"/>
    <x v="0"/>
    <s v="No"/>
    <x v="1"/>
    <s v="No"/>
    <n v="0"/>
    <n v="1"/>
    <n v="4"/>
  </r>
  <r>
    <n v="3294"/>
    <x v="63"/>
    <x v="0"/>
    <x v="62"/>
    <x v="0"/>
    <n v="15"/>
    <x v="2"/>
    <s v="Yes"/>
    <x v="0"/>
    <s v="Yes"/>
    <n v="20"/>
    <n v="20"/>
    <n v="45"/>
  </r>
  <r>
    <n v="3295"/>
    <x v="64"/>
    <x v="2"/>
    <x v="63"/>
    <x v="1"/>
    <n v="10"/>
    <x v="0"/>
    <s v="No"/>
    <x v="1"/>
    <s v="Yes"/>
    <n v="20"/>
    <n v="5"/>
    <n v="25"/>
  </r>
  <r>
    <n v="3296"/>
    <x v="65"/>
    <x v="1"/>
    <x v="64"/>
    <x v="1"/>
    <n v="5"/>
    <x v="0"/>
    <s v="No"/>
    <x v="1"/>
    <s v="No"/>
    <n v="0"/>
    <n v="0"/>
    <n v="5"/>
  </r>
  <r>
    <n v="3297"/>
    <x v="66"/>
    <x v="0"/>
    <x v="65"/>
    <x v="0"/>
    <n v="15"/>
    <x v="2"/>
    <s v="Yes"/>
    <x v="0"/>
    <s v="Yes"/>
    <n v="20"/>
    <n v="7"/>
    <n v="58"/>
  </r>
  <r>
    <n v="3298"/>
    <x v="67"/>
    <x v="2"/>
    <x v="66"/>
    <x v="1"/>
    <n v="10"/>
    <x v="1"/>
    <s v="No"/>
    <x v="1"/>
    <s v="Yes"/>
    <n v="20"/>
    <n v="10"/>
    <n v="20"/>
  </r>
  <r>
    <n v="3299"/>
    <x v="68"/>
    <x v="1"/>
    <x v="67"/>
    <x v="0"/>
    <n v="5"/>
    <x v="2"/>
    <s v="No"/>
    <x v="1"/>
    <s v="No"/>
    <n v="0"/>
    <n v="1"/>
    <n v="4"/>
  </r>
  <r>
    <n v="3300"/>
    <x v="69"/>
    <x v="0"/>
    <x v="68"/>
    <x v="1"/>
    <n v="15"/>
    <x v="0"/>
    <s v="Yes"/>
    <x v="0"/>
    <s v="Yes"/>
    <n v="20"/>
    <n v="15"/>
    <n v="50"/>
  </r>
  <r>
    <n v="3301"/>
    <x v="70"/>
    <x v="2"/>
    <x v="69"/>
    <x v="0"/>
    <n v="10"/>
    <x v="0"/>
    <s v="No"/>
    <x v="1"/>
    <s v="Yes"/>
    <n v="20"/>
    <n v="5"/>
    <n v="25"/>
  </r>
  <r>
    <n v="3302"/>
    <x v="71"/>
    <x v="1"/>
    <x v="70"/>
    <x v="1"/>
    <n v="5"/>
    <x v="1"/>
    <s v="No"/>
    <x v="1"/>
    <s v="No"/>
    <n v="0"/>
    <n v="0"/>
    <n v="5"/>
  </r>
  <r>
    <n v="3303"/>
    <x v="72"/>
    <x v="0"/>
    <x v="71"/>
    <x v="0"/>
    <n v="15"/>
    <x v="2"/>
    <s v="Yes"/>
    <x v="0"/>
    <s v="Yes"/>
    <n v="20"/>
    <n v="20"/>
    <n v="45"/>
  </r>
  <r>
    <n v="3304"/>
    <x v="73"/>
    <x v="2"/>
    <x v="72"/>
    <x v="1"/>
    <n v="10"/>
    <x v="2"/>
    <s v="No"/>
    <x v="1"/>
    <s v="Yes"/>
    <n v="20"/>
    <n v="12"/>
    <n v="18"/>
  </r>
  <r>
    <n v="3305"/>
    <x v="74"/>
    <x v="1"/>
    <x v="73"/>
    <x v="0"/>
    <n v="5"/>
    <x v="0"/>
    <s v="No"/>
    <x v="1"/>
    <s v="No"/>
    <n v="0"/>
    <n v="2"/>
    <n v="3"/>
  </r>
  <r>
    <n v="3306"/>
    <x v="75"/>
    <x v="0"/>
    <x v="74"/>
    <x v="1"/>
    <n v="15"/>
    <x v="1"/>
    <s v="Yes"/>
    <x v="0"/>
    <s v="Yes"/>
    <n v="20"/>
    <n v="5"/>
    <n v="60"/>
  </r>
  <r>
    <n v="3307"/>
    <x v="76"/>
    <x v="2"/>
    <x v="75"/>
    <x v="0"/>
    <n v="10"/>
    <x v="0"/>
    <s v="No"/>
    <x v="1"/>
    <s v="Yes"/>
    <n v="20"/>
    <n v="10"/>
    <n v="20"/>
  </r>
  <r>
    <n v="3308"/>
    <x v="77"/>
    <x v="1"/>
    <x v="76"/>
    <x v="1"/>
    <n v="5"/>
    <x v="2"/>
    <s v="No"/>
    <x v="1"/>
    <s v="No"/>
    <n v="0"/>
    <n v="0"/>
    <n v="5"/>
  </r>
  <r>
    <n v="3309"/>
    <x v="78"/>
    <x v="0"/>
    <x v="77"/>
    <x v="0"/>
    <n v="15"/>
    <x v="0"/>
    <s v="Yes"/>
    <x v="0"/>
    <s v="Yes"/>
    <n v="20"/>
    <n v="3"/>
    <n v="62"/>
  </r>
  <r>
    <n v="3310"/>
    <x v="79"/>
    <x v="2"/>
    <x v="78"/>
    <x v="1"/>
    <n v="10"/>
    <x v="1"/>
    <s v="No"/>
    <x v="1"/>
    <s v="Yes"/>
    <n v="20"/>
    <n v="15"/>
    <n v="15"/>
  </r>
  <r>
    <n v="3311"/>
    <x v="80"/>
    <x v="1"/>
    <x v="79"/>
    <x v="0"/>
    <n v="5"/>
    <x v="0"/>
    <s v="No"/>
    <x v="1"/>
    <s v="No"/>
    <n v="0"/>
    <n v="1"/>
    <n v="4"/>
  </r>
  <r>
    <n v="3312"/>
    <x v="81"/>
    <x v="0"/>
    <x v="80"/>
    <x v="1"/>
    <n v="15"/>
    <x v="2"/>
    <s v="Yes"/>
    <x v="0"/>
    <s v="Yes"/>
    <n v="20"/>
    <n v="7"/>
    <n v="58"/>
  </r>
  <r>
    <n v="3313"/>
    <x v="82"/>
    <x v="2"/>
    <x v="81"/>
    <x v="0"/>
    <n v="10"/>
    <x v="0"/>
    <s v="No"/>
    <x v="1"/>
    <s v="Yes"/>
    <n v="20"/>
    <n v="10"/>
    <n v="20"/>
  </r>
  <r>
    <n v="3314"/>
    <x v="83"/>
    <x v="1"/>
    <x v="82"/>
    <x v="1"/>
    <n v="5"/>
    <x v="1"/>
    <s v="No"/>
    <x v="1"/>
    <s v="No"/>
    <n v="0"/>
    <n v="0"/>
    <n v="5"/>
  </r>
  <r>
    <n v="3315"/>
    <x v="84"/>
    <x v="0"/>
    <x v="83"/>
    <x v="0"/>
    <n v="15"/>
    <x v="0"/>
    <s v="Yes"/>
    <x v="0"/>
    <s v="Yes"/>
    <n v="20"/>
    <n v="20"/>
    <n v="45"/>
  </r>
  <r>
    <n v="3316"/>
    <x v="85"/>
    <x v="2"/>
    <x v="84"/>
    <x v="1"/>
    <n v="10"/>
    <x v="2"/>
    <s v="No"/>
    <x v="1"/>
    <s v="Yes"/>
    <n v="20"/>
    <n v="15"/>
    <n v="15"/>
  </r>
  <r>
    <n v="3317"/>
    <x v="86"/>
    <x v="1"/>
    <x v="85"/>
    <x v="0"/>
    <n v="5"/>
    <x v="0"/>
    <s v="No"/>
    <x v="1"/>
    <s v="No"/>
    <n v="0"/>
    <n v="1"/>
    <n v="4"/>
  </r>
  <r>
    <n v="3318"/>
    <x v="87"/>
    <x v="0"/>
    <x v="86"/>
    <x v="1"/>
    <n v="15"/>
    <x v="1"/>
    <s v="Yes"/>
    <x v="0"/>
    <s v="Yes"/>
    <n v="20"/>
    <n v="3"/>
    <n v="62"/>
  </r>
  <r>
    <n v="3319"/>
    <x v="88"/>
    <x v="2"/>
    <x v="87"/>
    <x v="0"/>
    <n v="10"/>
    <x v="0"/>
    <s v="No"/>
    <x v="1"/>
    <s v="Yes"/>
    <n v="20"/>
    <n v="10"/>
    <n v="20"/>
  </r>
  <r>
    <n v="3320"/>
    <x v="89"/>
    <x v="1"/>
    <x v="88"/>
    <x v="1"/>
    <n v="5"/>
    <x v="2"/>
    <s v="No"/>
    <x v="1"/>
    <s v="No"/>
    <n v="0"/>
    <n v="0"/>
    <n v="5"/>
  </r>
  <r>
    <n v="3321"/>
    <x v="90"/>
    <x v="0"/>
    <x v="89"/>
    <x v="0"/>
    <n v="15"/>
    <x v="0"/>
    <s v="Yes"/>
    <x v="0"/>
    <s v="Yes"/>
    <n v="20"/>
    <n v="5"/>
    <n v="60"/>
  </r>
  <r>
    <n v="3322"/>
    <x v="91"/>
    <x v="2"/>
    <x v="90"/>
    <x v="1"/>
    <n v="10"/>
    <x v="1"/>
    <s v="No"/>
    <x v="1"/>
    <s v="Yes"/>
    <n v="20"/>
    <n v="15"/>
    <n v="15"/>
  </r>
  <r>
    <n v="3323"/>
    <x v="92"/>
    <x v="1"/>
    <x v="91"/>
    <x v="0"/>
    <n v="5"/>
    <x v="0"/>
    <s v="No"/>
    <x v="1"/>
    <s v="No"/>
    <n v="0"/>
    <n v="1"/>
    <n v="4"/>
  </r>
  <r>
    <n v="3324"/>
    <x v="93"/>
    <x v="0"/>
    <x v="92"/>
    <x v="1"/>
    <n v="15"/>
    <x v="2"/>
    <s v="Yes"/>
    <x v="0"/>
    <s v="Yes"/>
    <n v="20"/>
    <n v="20"/>
    <n v="45"/>
  </r>
  <r>
    <n v="3325"/>
    <x v="94"/>
    <x v="2"/>
    <x v="93"/>
    <x v="0"/>
    <n v="10"/>
    <x v="2"/>
    <s v="No"/>
    <x v="1"/>
    <s v="Yes"/>
    <n v="20"/>
    <n v="15"/>
    <n v="15"/>
  </r>
  <r>
    <n v="3326"/>
    <x v="95"/>
    <x v="1"/>
    <x v="94"/>
    <x v="1"/>
    <n v="5"/>
    <x v="1"/>
    <s v="No"/>
    <x v="1"/>
    <s v="No"/>
    <n v="0"/>
    <n v="0"/>
    <n v="5"/>
  </r>
  <r>
    <n v="3327"/>
    <x v="96"/>
    <x v="0"/>
    <x v="95"/>
    <x v="0"/>
    <n v="15"/>
    <x v="0"/>
    <s v="Yes"/>
    <x v="0"/>
    <s v="Yes"/>
    <n v="20"/>
    <n v="7"/>
    <n v="58"/>
  </r>
  <r>
    <n v="3328"/>
    <x v="97"/>
    <x v="2"/>
    <x v="96"/>
    <x v="1"/>
    <n v="10"/>
    <x v="1"/>
    <s v="No"/>
    <x v="1"/>
    <s v="Yes"/>
    <n v="20"/>
    <n v="10"/>
    <n v="20"/>
  </r>
  <r>
    <n v="3329"/>
    <x v="98"/>
    <x v="1"/>
    <x v="97"/>
    <x v="0"/>
    <n v="5"/>
    <x v="2"/>
    <s v="No"/>
    <x v="1"/>
    <s v="No"/>
    <n v="0"/>
    <n v="1"/>
    <n v="4"/>
  </r>
  <r>
    <n v="3330"/>
    <x v="99"/>
    <x v="0"/>
    <x v="98"/>
    <x v="1"/>
    <n v="15"/>
    <x v="0"/>
    <s v="Yes"/>
    <x v="0"/>
    <s v="Yes"/>
    <n v="20"/>
    <n v="15"/>
    <n v="50"/>
  </r>
  <r>
    <n v="3331"/>
    <x v="100"/>
    <x v="2"/>
    <x v="99"/>
    <x v="0"/>
    <n v="10"/>
    <x v="0"/>
    <s v="No"/>
    <x v="1"/>
    <s v="Yes"/>
    <n v="20"/>
    <n v="5"/>
    <n v="25"/>
  </r>
  <r>
    <n v="3332"/>
    <x v="101"/>
    <x v="1"/>
    <x v="100"/>
    <x v="1"/>
    <n v="5"/>
    <x v="1"/>
    <s v="No"/>
    <x v="1"/>
    <s v="No"/>
    <n v="0"/>
    <n v="0"/>
    <n v="5"/>
  </r>
  <r>
    <n v="3333"/>
    <x v="102"/>
    <x v="0"/>
    <x v="101"/>
    <x v="0"/>
    <n v="15"/>
    <x v="2"/>
    <s v="Yes"/>
    <x v="0"/>
    <s v="Yes"/>
    <n v="20"/>
    <n v="20"/>
    <n v="45"/>
  </r>
  <r>
    <n v="3334"/>
    <x v="103"/>
    <x v="2"/>
    <x v="102"/>
    <x v="1"/>
    <n v="10"/>
    <x v="2"/>
    <s v="No"/>
    <x v="1"/>
    <s v="Yes"/>
    <n v="20"/>
    <n v="12"/>
    <n v="18"/>
  </r>
  <r>
    <n v="3335"/>
    <x v="104"/>
    <x v="1"/>
    <x v="103"/>
    <x v="0"/>
    <n v="5"/>
    <x v="0"/>
    <s v="No"/>
    <x v="1"/>
    <s v="No"/>
    <n v="0"/>
    <n v="2"/>
    <n v="3"/>
  </r>
  <r>
    <n v="3336"/>
    <x v="105"/>
    <x v="1"/>
    <x v="104"/>
    <x v="0"/>
    <n v="5"/>
    <x v="0"/>
    <s v="No"/>
    <x v="1"/>
    <s v="No"/>
    <n v="0"/>
    <n v="0"/>
    <n v="5"/>
  </r>
  <r>
    <n v="3337"/>
    <x v="106"/>
    <x v="0"/>
    <x v="105"/>
    <x v="1"/>
    <n v="15"/>
    <x v="2"/>
    <s v="Yes"/>
    <x v="0"/>
    <s v="Yes"/>
    <n v="20"/>
    <n v="7"/>
    <n v="58"/>
  </r>
  <r>
    <n v="3338"/>
    <x v="107"/>
    <x v="2"/>
    <x v="106"/>
    <x v="0"/>
    <n v="10"/>
    <x v="1"/>
    <s v="No"/>
    <x v="1"/>
    <s v="Yes"/>
    <n v="20"/>
    <n v="10"/>
    <n v="20"/>
  </r>
  <r>
    <n v="3339"/>
    <x v="108"/>
    <x v="1"/>
    <x v="107"/>
    <x v="1"/>
    <n v="5"/>
    <x v="2"/>
    <s v="No"/>
    <x v="1"/>
    <s v="No"/>
    <n v="0"/>
    <n v="1"/>
    <n v="4"/>
  </r>
  <r>
    <n v="3340"/>
    <x v="109"/>
    <x v="0"/>
    <x v="108"/>
    <x v="0"/>
    <n v="15"/>
    <x v="0"/>
    <s v="Yes"/>
    <x v="0"/>
    <s v="Yes"/>
    <n v="20"/>
    <n v="15"/>
    <n v="50"/>
  </r>
  <r>
    <n v="3341"/>
    <x v="110"/>
    <x v="2"/>
    <x v="109"/>
    <x v="1"/>
    <n v="10"/>
    <x v="0"/>
    <s v="No"/>
    <x v="1"/>
    <s v="Yes"/>
    <n v="20"/>
    <n v="5"/>
    <n v="25"/>
  </r>
  <r>
    <n v="3342"/>
    <x v="111"/>
    <x v="1"/>
    <x v="110"/>
    <x v="0"/>
    <n v="5"/>
    <x v="1"/>
    <s v="No"/>
    <x v="1"/>
    <s v="No"/>
    <n v="0"/>
    <n v="0"/>
    <n v="5"/>
  </r>
  <r>
    <n v="3343"/>
    <x v="112"/>
    <x v="0"/>
    <x v="111"/>
    <x v="1"/>
    <n v="15"/>
    <x v="2"/>
    <s v="Yes"/>
    <x v="0"/>
    <s v="Yes"/>
    <n v="20"/>
    <n v="20"/>
    <n v="45"/>
  </r>
  <r>
    <n v="3344"/>
    <x v="113"/>
    <x v="2"/>
    <x v="112"/>
    <x v="0"/>
    <n v="10"/>
    <x v="2"/>
    <s v="No"/>
    <x v="1"/>
    <s v="Yes"/>
    <n v="20"/>
    <n v="12"/>
    <n v="18"/>
  </r>
  <r>
    <n v="3345"/>
    <x v="114"/>
    <x v="1"/>
    <x v="113"/>
    <x v="1"/>
    <n v="5"/>
    <x v="0"/>
    <s v="No"/>
    <x v="1"/>
    <s v="No"/>
    <n v="0"/>
    <n v="2"/>
    <n v="3"/>
  </r>
  <r>
    <n v="3346"/>
    <x v="115"/>
    <x v="0"/>
    <x v="114"/>
    <x v="0"/>
    <n v="15"/>
    <x v="1"/>
    <s v="Yes"/>
    <x v="0"/>
    <s v="Yes"/>
    <n v="20"/>
    <n v="5"/>
    <n v="60"/>
  </r>
  <r>
    <n v="3347"/>
    <x v="116"/>
    <x v="2"/>
    <x v="115"/>
    <x v="1"/>
    <n v="10"/>
    <x v="0"/>
    <s v="No"/>
    <x v="1"/>
    <s v="Yes"/>
    <n v="20"/>
    <n v="10"/>
    <n v="20"/>
  </r>
  <r>
    <n v="3348"/>
    <x v="117"/>
    <x v="1"/>
    <x v="116"/>
    <x v="0"/>
    <n v="5"/>
    <x v="2"/>
    <s v="No"/>
    <x v="1"/>
    <s v="No"/>
    <n v="0"/>
    <n v="0"/>
    <n v="5"/>
  </r>
  <r>
    <n v="3349"/>
    <x v="93"/>
    <x v="0"/>
    <x v="117"/>
    <x v="1"/>
    <n v="15"/>
    <x v="0"/>
    <s v="Yes"/>
    <x v="0"/>
    <s v="Yes"/>
    <n v="20"/>
    <n v="3"/>
    <n v="62"/>
  </r>
  <r>
    <n v="3350"/>
    <x v="118"/>
    <x v="2"/>
    <x v="118"/>
    <x v="0"/>
    <n v="10"/>
    <x v="1"/>
    <s v="No"/>
    <x v="1"/>
    <s v="Yes"/>
    <n v="20"/>
    <n v="15"/>
    <n v="15"/>
  </r>
  <r>
    <n v="3351"/>
    <x v="119"/>
    <x v="1"/>
    <x v="119"/>
    <x v="1"/>
    <n v="5"/>
    <x v="0"/>
    <s v="No"/>
    <x v="1"/>
    <s v="No"/>
    <n v="0"/>
    <n v="1"/>
    <n v="4"/>
  </r>
  <r>
    <n v="3352"/>
    <x v="120"/>
    <x v="0"/>
    <x v="120"/>
    <x v="0"/>
    <n v="15"/>
    <x v="2"/>
    <s v="Yes"/>
    <x v="0"/>
    <s v="Yes"/>
    <n v="20"/>
    <n v="7"/>
    <n v="58"/>
  </r>
  <r>
    <n v="3353"/>
    <x v="121"/>
    <x v="2"/>
    <x v="121"/>
    <x v="1"/>
    <n v="10"/>
    <x v="0"/>
    <s v="No"/>
    <x v="1"/>
    <s v="Yes"/>
    <n v="20"/>
    <n v="10"/>
    <n v="20"/>
  </r>
  <r>
    <n v="3354"/>
    <x v="122"/>
    <x v="1"/>
    <x v="122"/>
    <x v="0"/>
    <n v="5"/>
    <x v="1"/>
    <s v="No"/>
    <x v="1"/>
    <s v="No"/>
    <n v="0"/>
    <n v="0"/>
    <n v="5"/>
  </r>
  <r>
    <n v="3355"/>
    <x v="123"/>
    <x v="0"/>
    <x v="123"/>
    <x v="1"/>
    <n v="15"/>
    <x v="0"/>
    <s v="Yes"/>
    <x v="0"/>
    <s v="Yes"/>
    <n v="20"/>
    <n v="20"/>
    <n v="45"/>
  </r>
  <r>
    <n v="3356"/>
    <x v="124"/>
    <x v="2"/>
    <x v="124"/>
    <x v="0"/>
    <n v="10"/>
    <x v="2"/>
    <s v="No"/>
    <x v="1"/>
    <s v="Yes"/>
    <n v="20"/>
    <n v="15"/>
    <n v="15"/>
  </r>
  <r>
    <n v="3357"/>
    <x v="125"/>
    <x v="1"/>
    <x v="125"/>
    <x v="1"/>
    <n v="5"/>
    <x v="0"/>
    <s v="No"/>
    <x v="1"/>
    <s v="No"/>
    <n v="0"/>
    <n v="1"/>
    <n v="4"/>
  </r>
  <r>
    <n v="3358"/>
    <x v="126"/>
    <x v="0"/>
    <x v="126"/>
    <x v="0"/>
    <n v="15"/>
    <x v="1"/>
    <s v="Yes"/>
    <x v="0"/>
    <s v="Yes"/>
    <n v="20"/>
    <n v="3"/>
    <n v="62"/>
  </r>
  <r>
    <n v="3359"/>
    <x v="127"/>
    <x v="2"/>
    <x v="127"/>
    <x v="1"/>
    <n v="10"/>
    <x v="0"/>
    <s v="No"/>
    <x v="1"/>
    <s v="Yes"/>
    <n v="20"/>
    <n v="10"/>
    <n v="20"/>
  </r>
  <r>
    <n v="3360"/>
    <x v="128"/>
    <x v="1"/>
    <x v="128"/>
    <x v="0"/>
    <n v="5"/>
    <x v="2"/>
    <s v="No"/>
    <x v="1"/>
    <s v="No"/>
    <n v="0"/>
    <n v="0"/>
    <n v="5"/>
  </r>
  <r>
    <n v="3361"/>
    <x v="129"/>
    <x v="0"/>
    <x v="129"/>
    <x v="1"/>
    <n v="15"/>
    <x v="0"/>
    <s v="Yes"/>
    <x v="0"/>
    <s v="Yes"/>
    <n v="20"/>
    <n v="15"/>
    <n v="50"/>
  </r>
  <r>
    <n v="3362"/>
    <x v="130"/>
    <x v="2"/>
    <x v="130"/>
    <x v="0"/>
    <n v="10"/>
    <x v="1"/>
    <s v="No"/>
    <x v="1"/>
    <s v="Yes"/>
    <n v="20"/>
    <n v="15"/>
    <n v="15"/>
  </r>
  <r>
    <n v="3363"/>
    <x v="131"/>
    <x v="1"/>
    <x v="131"/>
    <x v="1"/>
    <n v="5"/>
    <x v="0"/>
    <s v="No"/>
    <x v="1"/>
    <s v="No"/>
    <n v="0"/>
    <n v="1"/>
    <n v="4"/>
  </r>
  <r>
    <n v="3364"/>
    <x v="132"/>
    <x v="0"/>
    <x v="132"/>
    <x v="0"/>
    <n v="15"/>
    <x v="2"/>
    <s v="Yes"/>
    <x v="0"/>
    <s v="Yes"/>
    <n v="20"/>
    <n v="7"/>
    <n v="58"/>
  </r>
  <r>
    <n v="3365"/>
    <x v="133"/>
    <x v="2"/>
    <x v="133"/>
    <x v="1"/>
    <n v="10"/>
    <x v="0"/>
    <s v="No"/>
    <x v="1"/>
    <s v="Yes"/>
    <n v="20"/>
    <n v="10"/>
    <n v="20"/>
  </r>
  <r>
    <n v="3366"/>
    <x v="134"/>
    <x v="1"/>
    <x v="134"/>
    <x v="0"/>
    <n v="5"/>
    <x v="0"/>
    <s v="No"/>
    <x v="1"/>
    <s v="No"/>
    <n v="0"/>
    <n v="0"/>
    <n v="5"/>
  </r>
  <r>
    <n v="3367"/>
    <x v="135"/>
    <x v="0"/>
    <x v="135"/>
    <x v="1"/>
    <n v="15"/>
    <x v="2"/>
    <s v="Yes"/>
    <x v="0"/>
    <s v="Yes"/>
    <n v="20"/>
    <n v="7"/>
    <n v="58"/>
  </r>
  <r>
    <n v="3368"/>
    <x v="136"/>
    <x v="2"/>
    <x v="136"/>
    <x v="0"/>
    <n v="10"/>
    <x v="1"/>
    <s v="No"/>
    <x v="1"/>
    <s v="Yes"/>
    <n v="20"/>
    <n v="10"/>
    <n v="20"/>
  </r>
  <r>
    <n v="3369"/>
    <x v="137"/>
    <x v="1"/>
    <x v="137"/>
    <x v="1"/>
    <n v="5"/>
    <x v="2"/>
    <s v="No"/>
    <x v="1"/>
    <s v="No"/>
    <n v="0"/>
    <n v="1"/>
    <n v="4"/>
  </r>
  <r>
    <n v="3370"/>
    <x v="138"/>
    <x v="0"/>
    <x v="138"/>
    <x v="0"/>
    <n v="15"/>
    <x v="0"/>
    <s v="Yes"/>
    <x v="0"/>
    <s v="Yes"/>
    <n v="20"/>
    <n v="15"/>
    <n v="50"/>
  </r>
  <r>
    <n v="3371"/>
    <x v="139"/>
    <x v="2"/>
    <x v="139"/>
    <x v="1"/>
    <n v="10"/>
    <x v="0"/>
    <s v="No"/>
    <x v="1"/>
    <s v="Yes"/>
    <n v="20"/>
    <n v="5"/>
    <n v="25"/>
  </r>
  <r>
    <n v="3372"/>
    <x v="140"/>
    <x v="1"/>
    <x v="140"/>
    <x v="0"/>
    <n v="5"/>
    <x v="1"/>
    <s v="No"/>
    <x v="1"/>
    <s v="No"/>
    <n v="0"/>
    <n v="0"/>
    <n v="5"/>
  </r>
  <r>
    <n v="3373"/>
    <x v="141"/>
    <x v="0"/>
    <x v="141"/>
    <x v="1"/>
    <n v="15"/>
    <x v="2"/>
    <s v="Yes"/>
    <x v="0"/>
    <s v="Yes"/>
    <n v="20"/>
    <n v="20"/>
    <n v="45"/>
  </r>
  <r>
    <n v="3374"/>
    <x v="142"/>
    <x v="2"/>
    <x v="142"/>
    <x v="0"/>
    <n v="10"/>
    <x v="2"/>
    <s v="No"/>
    <x v="1"/>
    <s v="Yes"/>
    <n v="20"/>
    <n v="12"/>
    <n v="18"/>
  </r>
  <r>
    <n v="3375"/>
    <x v="143"/>
    <x v="1"/>
    <x v="143"/>
    <x v="1"/>
    <n v="5"/>
    <x v="0"/>
    <s v="No"/>
    <x v="1"/>
    <s v="No"/>
    <n v="0"/>
    <n v="2"/>
    <n v="3"/>
  </r>
  <r>
    <n v="3376"/>
    <x v="144"/>
    <x v="0"/>
    <x v="144"/>
    <x v="0"/>
    <n v="15"/>
    <x v="1"/>
    <s v="Yes"/>
    <x v="0"/>
    <s v="Yes"/>
    <n v="20"/>
    <n v="5"/>
    <n v="60"/>
  </r>
  <r>
    <n v="3377"/>
    <x v="145"/>
    <x v="2"/>
    <x v="145"/>
    <x v="1"/>
    <n v="10"/>
    <x v="0"/>
    <s v="No"/>
    <x v="1"/>
    <s v="Yes"/>
    <n v="20"/>
    <n v="10"/>
    <n v="20"/>
  </r>
  <r>
    <n v="3378"/>
    <x v="146"/>
    <x v="1"/>
    <x v="146"/>
    <x v="0"/>
    <n v="5"/>
    <x v="2"/>
    <s v="No"/>
    <x v="1"/>
    <s v="No"/>
    <n v="0"/>
    <n v="0"/>
    <n v="5"/>
  </r>
  <r>
    <n v="3379"/>
    <x v="147"/>
    <x v="0"/>
    <x v="147"/>
    <x v="1"/>
    <n v="15"/>
    <x v="0"/>
    <s v="Yes"/>
    <x v="0"/>
    <s v="Yes"/>
    <n v="20"/>
    <n v="3"/>
    <n v="62"/>
  </r>
  <r>
    <n v="3380"/>
    <x v="148"/>
    <x v="2"/>
    <x v="148"/>
    <x v="0"/>
    <n v="10"/>
    <x v="1"/>
    <s v="No"/>
    <x v="1"/>
    <s v="Yes"/>
    <n v="20"/>
    <n v="15"/>
    <n v="15"/>
  </r>
  <r>
    <n v="3381"/>
    <x v="149"/>
    <x v="1"/>
    <x v="149"/>
    <x v="1"/>
    <n v="5"/>
    <x v="0"/>
    <s v="No"/>
    <x v="1"/>
    <s v="No"/>
    <n v="0"/>
    <n v="1"/>
    <n v="4"/>
  </r>
  <r>
    <n v="3382"/>
    <x v="150"/>
    <x v="0"/>
    <x v="150"/>
    <x v="0"/>
    <n v="15"/>
    <x v="2"/>
    <s v="Yes"/>
    <x v="0"/>
    <s v="Yes"/>
    <n v="20"/>
    <n v="7"/>
    <n v="58"/>
  </r>
  <r>
    <n v="3383"/>
    <x v="151"/>
    <x v="2"/>
    <x v="151"/>
    <x v="1"/>
    <n v="10"/>
    <x v="0"/>
    <s v="No"/>
    <x v="1"/>
    <s v="Yes"/>
    <n v="20"/>
    <n v="10"/>
    <n v="20"/>
  </r>
  <r>
    <n v="3384"/>
    <x v="152"/>
    <x v="1"/>
    <x v="152"/>
    <x v="0"/>
    <n v="5"/>
    <x v="1"/>
    <s v="No"/>
    <x v="1"/>
    <s v="No"/>
    <n v="0"/>
    <n v="0"/>
    <n v="5"/>
  </r>
  <r>
    <n v="3385"/>
    <x v="153"/>
    <x v="0"/>
    <x v="153"/>
    <x v="1"/>
    <n v="15"/>
    <x v="0"/>
    <s v="Yes"/>
    <x v="0"/>
    <s v="Yes"/>
    <n v="20"/>
    <n v="20"/>
    <n v="45"/>
  </r>
  <r>
    <n v="3386"/>
    <x v="154"/>
    <x v="2"/>
    <x v="154"/>
    <x v="0"/>
    <n v="10"/>
    <x v="2"/>
    <s v="No"/>
    <x v="1"/>
    <s v="Yes"/>
    <n v="20"/>
    <n v="15"/>
    <n v="15"/>
  </r>
  <r>
    <n v="3387"/>
    <x v="155"/>
    <x v="1"/>
    <x v="155"/>
    <x v="1"/>
    <n v="5"/>
    <x v="0"/>
    <s v="No"/>
    <x v="1"/>
    <s v="No"/>
    <n v="0"/>
    <n v="1"/>
    <n v="4"/>
  </r>
  <r>
    <n v="3388"/>
    <x v="156"/>
    <x v="0"/>
    <x v="156"/>
    <x v="0"/>
    <n v="15"/>
    <x v="1"/>
    <s v="Yes"/>
    <x v="0"/>
    <s v="Yes"/>
    <n v="20"/>
    <n v="3"/>
    <n v="62"/>
  </r>
  <r>
    <n v="3389"/>
    <x v="157"/>
    <x v="2"/>
    <x v="157"/>
    <x v="1"/>
    <n v="10"/>
    <x v="0"/>
    <s v="No"/>
    <x v="1"/>
    <s v="Yes"/>
    <n v="20"/>
    <n v="10"/>
    <n v="20"/>
  </r>
  <r>
    <n v="3390"/>
    <x v="158"/>
    <x v="1"/>
    <x v="158"/>
    <x v="0"/>
    <n v="5"/>
    <x v="2"/>
    <s v="No"/>
    <x v="1"/>
    <s v="No"/>
    <n v="0"/>
    <n v="0"/>
    <n v="5"/>
  </r>
  <r>
    <n v="3391"/>
    <x v="58"/>
    <x v="0"/>
    <x v="159"/>
    <x v="1"/>
    <n v="15"/>
    <x v="0"/>
    <s v="Yes"/>
    <x v="0"/>
    <s v="Yes"/>
    <n v="20"/>
    <n v="15"/>
    <n v="50"/>
  </r>
  <r>
    <n v="3392"/>
    <x v="159"/>
    <x v="2"/>
    <x v="160"/>
    <x v="0"/>
    <n v="10"/>
    <x v="1"/>
    <s v="No"/>
    <x v="1"/>
    <s v="Yes"/>
    <n v="20"/>
    <n v="15"/>
    <n v="15"/>
  </r>
  <r>
    <n v="3393"/>
    <x v="160"/>
    <x v="1"/>
    <x v="161"/>
    <x v="1"/>
    <n v="5"/>
    <x v="0"/>
    <s v="No"/>
    <x v="1"/>
    <s v="No"/>
    <n v="0"/>
    <n v="1"/>
    <n v="4"/>
  </r>
  <r>
    <n v="3394"/>
    <x v="161"/>
    <x v="0"/>
    <x v="162"/>
    <x v="0"/>
    <n v="15"/>
    <x v="2"/>
    <s v="Yes"/>
    <x v="0"/>
    <s v="Yes"/>
    <n v="20"/>
    <n v="7"/>
    <n v="58"/>
  </r>
  <r>
    <n v="3395"/>
    <x v="162"/>
    <x v="2"/>
    <x v="163"/>
    <x v="1"/>
    <n v="10"/>
    <x v="0"/>
    <s v="No"/>
    <x v="1"/>
    <s v="Yes"/>
    <n v="20"/>
    <n v="10"/>
    <n v="20"/>
  </r>
  <r>
    <n v="3396"/>
    <x v="163"/>
    <x v="1"/>
    <x v="164"/>
    <x v="0"/>
    <n v="5"/>
    <x v="1"/>
    <s v="No"/>
    <x v="1"/>
    <s v="No"/>
    <n v="0"/>
    <n v="0"/>
    <n v="5"/>
  </r>
  <r>
    <n v="3397"/>
    <x v="90"/>
    <x v="0"/>
    <x v="165"/>
    <x v="1"/>
    <n v="15"/>
    <x v="0"/>
    <s v="Yes"/>
    <x v="0"/>
    <s v="Yes"/>
    <n v="20"/>
    <n v="20"/>
    <n v="45"/>
  </r>
  <r>
    <n v="3398"/>
    <x v="164"/>
    <x v="2"/>
    <x v="166"/>
    <x v="0"/>
    <n v="10"/>
    <x v="2"/>
    <s v="No"/>
    <x v="1"/>
    <s v="Yes"/>
    <n v="20"/>
    <n v="15"/>
    <n v="15"/>
  </r>
  <r>
    <n v="3399"/>
    <x v="165"/>
    <x v="1"/>
    <x v="167"/>
    <x v="1"/>
    <n v="5"/>
    <x v="0"/>
    <s v="No"/>
    <x v="1"/>
    <s v="No"/>
    <n v="0"/>
    <n v="1"/>
    <n v="4"/>
  </r>
  <r>
    <n v="3400"/>
    <x v="166"/>
    <x v="0"/>
    <x v="168"/>
    <x v="0"/>
    <n v="15"/>
    <x v="1"/>
    <s v="Yes"/>
    <x v="0"/>
    <s v="Yes"/>
    <n v="20"/>
    <n v="5"/>
    <n v="60"/>
  </r>
  <r>
    <n v="3401"/>
    <x v="167"/>
    <x v="2"/>
    <x v="169"/>
    <x v="1"/>
    <n v="10"/>
    <x v="0"/>
    <s v="No"/>
    <x v="1"/>
    <s v="Yes"/>
    <n v="20"/>
    <n v="10"/>
    <n v="20"/>
  </r>
  <r>
    <n v="3402"/>
    <x v="168"/>
    <x v="1"/>
    <x v="170"/>
    <x v="0"/>
    <n v="5"/>
    <x v="2"/>
    <s v="No"/>
    <x v="1"/>
    <s v="No"/>
    <n v="0"/>
    <n v="0"/>
    <n v="5"/>
  </r>
  <r>
    <n v="3403"/>
    <x v="169"/>
    <x v="0"/>
    <x v="171"/>
    <x v="1"/>
    <n v="15"/>
    <x v="0"/>
    <s v="Yes"/>
    <x v="0"/>
    <s v="Yes"/>
    <n v="20"/>
    <n v="3"/>
    <n v="62"/>
  </r>
  <r>
    <n v="3404"/>
    <x v="170"/>
    <x v="2"/>
    <x v="172"/>
    <x v="0"/>
    <n v="10"/>
    <x v="1"/>
    <s v="No"/>
    <x v="1"/>
    <s v="Yes"/>
    <n v="20"/>
    <n v="15"/>
    <n v="15"/>
  </r>
  <r>
    <n v="3405"/>
    <x v="171"/>
    <x v="1"/>
    <x v="173"/>
    <x v="1"/>
    <n v="5"/>
    <x v="0"/>
    <s v="No"/>
    <x v="1"/>
    <s v="No"/>
    <n v="0"/>
    <n v="1"/>
    <n v="4"/>
  </r>
  <r>
    <n v="3406"/>
    <x v="172"/>
    <x v="1"/>
    <x v="174"/>
    <x v="0"/>
    <n v="5"/>
    <x v="0"/>
    <s v="No"/>
    <x v="1"/>
    <s v="No"/>
    <n v="0"/>
    <n v="0"/>
    <n v="5"/>
  </r>
  <r>
    <n v="3407"/>
    <x v="173"/>
    <x v="0"/>
    <x v="175"/>
    <x v="1"/>
    <n v="15"/>
    <x v="2"/>
    <s v="Yes"/>
    <x v="0"/>
    <s v="Yes"/>
    <n v="20"/>
    <n v="7"/>
    <n v="58"/>
  </r>
  <r>
    <n v="3408"/>
    <x v="174"/>
    <x v="2"/>
    <x v="176"/>
    <x v="0"/>
    <n v="10"/>
    <x v="1"/>
    <s v="No"/>
    <x v="1"/>
    <s v="Yes"/>
    <n v="20"/>
    <n v="10"/>
    <n v="20"/>
  </r>
  <r>
    <n v="3409"/>
    <x v="175"/>
    <x v="1"/>
    <x v="177"/>
    <x v="1"/>
    <n v="5"/>
    <x v="2"/>
    <s v="No"/>
    <x v="1"/>
    <s v="No"/>
    <n v="0"/>
    <n v="1"/>
    <n v="4"/>
  </r>
  <r>
    <n v="3410"/>
    <x v="176"/>
    <x v="0"/>
    <x v="178"/>
    <x v="0"/>
    <n v="15"/>
    <x v="0"/>
    <s v="Yes"/>
    <x v="0"/>
    <s v="Yes"/>
    <n v="20"/>
    <n v="15"/>
    <n v="50"/>
  </r>
  <r>
    <n v="3411"/>
    <x v="177"/>
    <x v="2"/>
    <x v="179"/>
    <x v="1"/>
    <n v="10"/>
    <x v="0"/>
    <s v="No"/>
    <x v="1"/>
    <s v="Yes"/>
    <n v="20"/>
    <n v="5"/>
    <n v="25"/>
  </r>
  <r>
    <n v="3412"/>
    <x v="178"/>
    <x v="1"/>
    <x v="180"/>
    <x v="0"/>
    <n v="5"/>
    <x v="1"/>
    <s v="No"/>
    <x v="1"/>
    <s v="No"/>
    <n v="0"/>
    <n v="0"/>
    <n v="5"/>
  </r>
  <r>
    <n v="3413"/>
    <x v="179"/>
    <x v="0"/>
    <x v="181"/>
    <x v="1"/>
    <n v="15"/>
    <x v="2"/>
    <s v="Yes"/>
    <x v="0"/>
    <s v="Yes"/>
    <n v="20"/>
    <n v="20"/>
    <n v="45"/>
  </r>
  <r>
    <n v="3414"/>
    <x v="180"/>
    <x v="2"/>
    <x v="182"/>
    <x v="0"/>
    <n v="10"/>
    <x v="2"/>
    <s v="No"/>
    <x v="1"/>
    <s v="Yes"/>
    <n v="20"/>
    <n v="12"/>
    <n v="18"/>
  </r>
  <r>
    <n v="3415"/>
    <x v="181"/>
    <x v="1"/>
    <x v="183"/>
    <x v="1"/>
    <n v="5"/>
    <x v="0"/>
    <s v="No"/>
    <x v="1"/>
    <s v="No"/>
    <n v="0"/>
    <n v="2"/>
    <n v="3"/>
  </r>
  <r>
    <n v="3416"/>
    <x v="182"/>
    <x v="0"/>
    <x v="184"/>
    <x v="0"/>
    <n v="15"/>
    <x v="1"/>
    <s v="Yes"/>
    <x v="0"/>
    <s v="Yes"/>
    <n v="20"/>
    <n v="5"/>
    <n v="60"/>
  </r>
  <r>
    <n v="3417"/>
    <x v="183"/>
    <x v="2"/>
    <x v="185"/>
    <x v="1"/>
    <n v="10"/>
    <x v="0"/>
    <s v="No"/>
    <x v="1"/>
    <s v="Yes"/>
    <n v="20"/>
    <n v="10"/>
    <n v="20"/>
  </r>
  <r>
    <n v="3418"/>
    <x v="184"/>
    <x v="1"/>
    <x v="186"/>
    <x v="0"/>
    <n v="5"/>
    <x v="2"/>
    <s v="No"/>
    <x v="1"/>
    <s v="No"/>
    <n v="0"/>
    <n v="0"/>
    <n v="5"/>
  </r>
  <r>
    <n v="3419"/>
    <x v="185"/>
    <x v="0"/>
    <x v="187"/>
    <x v="1"/>
    <n v="15"/>
    <x v="0"/>
    <s v="Yes"/>
    <x v="0"/>
    <s v="Yes"/>
    <n v="20"/>
    <n v="3"/>
    <n v="62"/>
  </r>
  <r>
    <n v="3420"/>
    <x v="186"/>
    <x v="2"/>
    <x v="188"/>
    <x v="0"/>
    <n v="10"/>
    <x v="1"/>
    <s v="No"/>
    <x v="1"/>
    <s v="Yes"/>
    <n v="20"/>
    <n v="15"/>
    <n v="15"/>
  </r>
  <r>
    <n v="3421"/>
    <x v="15"/>
    <x v="1"/>
    <x v="189"/>
    <x v="1"/>
    <n v="5"/>
    <x v="0"/>
    <s v="No"/>
    <x v="1"/>
    <s v="No"/>
    <n v="0"/>
    <n v="1"/>
    <n v="4"/>
  </r>
  <r>
    <n v="3422"/>
    <x v="187"/>
    <x v="0"/>
    <x v="190"/>
    <x v="0"/>
    <n v="15"/>
    <x v="2"/>
    <s v="Yes"/>
    <x v="0"/>
    <s v="Yes"/>
    <n v="20"/>
    <n v="7"/>
    <n v="58"/>
  </r>
  <r>
    <n v="3423"/>
    <x v="188"/>
    <x v="2"/>
    <x v="191"/>
    <x v="1"/>
    <n v="10"/>
    <x v="0"/>
    <s v="No"/>
    <x v="1"/>
    <s v="Yes"/>
    <n v="20"/>
    <n v="10"/>
    <n v="20"/>
  </r>
  <r>
    <n v="3424"/>
    <x v="14"/>
    <x v="1"/>
    <x v="192"/>
    <x v="0"/>
    <n v="5"/>
    <x v="1"/>
    <s v="No"/>
    <x v="1"/>
    <s v="No"/>
    <n v="0"/>
    <n v="0"/>
    <n v="5"/>
  </r>
  <r>
    <n v="3425"/>
    <x v="189"/>
    <x v="0"/>
    <x v="193"/>
    <x v="1"/>
    <n v="15"/>
    <x v="0"/>
    <s v="Yes"/>
    <x v="0"/>
    <s v="Yes"/>
    <n v="20"/>
    <n v="20"/>
    <n v="45"/>
  </r>
  <r>
    <n v="3426"/>
    <x v="167"/>
    <x v="2"/>
    <x v="194"/>
    <x v="0"/>
    <n v="10"/>
    <x v="2"/>
    <s v="No"/>
    <x v="1"/>
    <s v="Yes"/>
    <n v="20"/>
    <n v="15"/>
    <n v="15"/>
  </r>
  <r>
    <n v="3427"/>
    <x v="190"/>
    <x v="1"/>
    <x v="195"/>
    <x v="1"/>
    <n v="5"/>
    <x v="0"/>
    <s v="No"/>
    <x v="1"/>
    <s v="No"/>
    <n v="0"/>
    <n v="1"/>
    <n v="4"/>
  </r>
  <r>
    <n v="3428"/>
    <x v="191"/>
    <x v="0"/>
    <x v="196"/>
    <x v="0"/>
    <n v="15"/>
    <x v="1"/>
    <s v="Yes"/>
    <x v="0"/>
    <s v="Yes"/>
    <n v="20"/>
    <n v="3"/>
    <n v="62"/>
  </r>
  <r>
    <n v="3429"/>
    <x v="192"/>
    <x v="2"/>
    <x v="197"/>
    <x v="1"/>
    <n v="10"/>
    <x v="0"/>
    <s v="No"/>
    <x v="1"/>
    <s v="Yes"/>
    <n v="20"/>
    <n v="10"/>
    <n v="20"/>
  </r>
  <r>
    <n v="3430"/>
    <x v="193"/>
    <x v="1"/>
    <x v="198"/>
    <x v="0"/>
    <n v="5"/>
    <x v="2"/>
    <s v="No"/>
    <x v="1"/>
    <s v="No"/>
    <n v="0"/>
    <n v="0"/>
    <n v="5"/>
  </r>
  <r>
    <n v="3431"/>
    <x v="194"/>
    <x v="0"/>
    <x v="199"/>
    <x v="1"/>
    <n v="15"/>
    <x v="0"/>
    <s v="Yes"/>
    <x v="0"/>
    <s v="Yes"/>
    <n v="20"/>
    <n v="15"/>
    <n v="50"/>
  </r>
  <r>
    <n v="3432"/>
    <x v="195"/>
    <x v="2"/>
    <x v="200"/>
    <x v="0"/>
    <n v="10"/>
    <x v="1"/>
    <s v="No"/>
    <x v="1"/>
    <s v="Yes"/>
    <n v="20"/>
    <n v="15"/>
    <n v="15"/>
  </r>
  <r>
    <n v="3433"/>
    <x v="196"/>
    <x v="1"/>
    <x v="201"/>
    <x v="1"/>
    <n v="5"/>
    <x v="0"/>
    <s v="No"/>
    <x v="1"/>
    <s v="No"/>
    <n v="0"/>
    <n v="1"/>
    <n v="4"/>
  </r>
  <r>
    <n v="3434"/>
    <x v="197"/>
    <x v="0"/>
    <x v="202"/>
    <x v="0"/>
    <n v="15"/>
    <x v="2"/>
    <s v="Yes"/>
    <x v="0"/>
    <s v="Yes"/>
    <n v="20"/>
    <n v="7"/>
    <n v="58"/>
  </r>
  <r>
    <n v="3435"/>
    <x v="198"/>
    <x v="2"/>
    <x v="203"/>
    <x v="1"/>
    <n v="10"/>
    <x v="0"/>
    <s v="No"/>
    <x v="1"/>
    <s v="Yes"/>
    <n v="20"/>
    <n v="10"/>
    <n v="20"/>
  </r>
  <r>
    <n v="3436"/>
    <x v="199"/>
    <x v="1"/>
    <x v="204"/>
    <x v="0"/>
    <n v="5"/>
    <x v="0"/>
    <s v="No"/>
    <x v="1"/>
    <s v="No"/>
    <n v="0"/>
    <n v="0"/>
    <n v="5"/>
  </r>
  <r>
    <n v="3437"/>
    <x v="200"/>
    <x v="0"/>
    <x v="205"/>
    <x v="1"/>
    <n v="15"/>
    <x v="2"/>
    <s v="Yes"/>
    <x v="0"/>
    <s v="Yes"/>
    <n v="20"/>
    <n v="7"/>
    <n v="58"/>
  </r>
  <r>
    <n v="3438"/>
    <x v="201"/>
    <x v="2"/>
    <x v="206"/>
    <x v="0"/>
    <n v="10"/>
    <x v="1"/>
    <s v="No"/>
    <x v="1"/>
    <s v="Yes"/>
    <n v="20"/>
    <n v="10"/>
    <n v="20"/>
  </r>
  <r>
    <n v="3439"/>
    <x v="202"/>
    <x v="1"/>
    <x v="207"/>
    <x v="1"/>
    <n v="5"/>
    <x v="2"/>
    <s v="No"/>
    <x v="1"/>
    <s v="No"/>
    <n v="0"/>
    <n v="1"/>
    <n v="4"/>
  </r>
  <r>
    <n v="3440"/>
    <x v="203"/>
    <x v="0"/>
    <x v="208"/>
    <x v="0"/>
    <n v="15"/>
    <x v="0"/>
    <s v="Yes"/>
    <x v="0"/>
    <s v="Yes"/>
    <n v="20"/>
    <n v="15"/>
    <n v="50"/>
  </r>
  <r>
    <n v="3441"/>
    <x v="204"/>
    <x v="2"/>
    <x v="209"/>
    <x v="1"/>
    <n v="10"/>
    <x v="0"/>
    <s v="No"/>
    <x v="1"/>
    <s v="Yes"/>
    <n v="20"/>
    <n v="5"/>
    <n v="25"/>
  </r>
  <r>
    <n v="3442"/>
    <x v="205"/>
    <x v="1"/>
    <x v="210"/>
    <x v="0"/>
    <n v="5"/>
    <x v="1"/>
    <s v="No"/>
    <x v="1"/>
    <s v="No"/>
    <n v="0"/>
    <n v="0"/>
    <n v="5"/>
  </r>
  <r>
    <n v="3443"/>
    <x v="206"/>
    <x v="0"/>
    <x v="211"/>
    <x v="1"/>
    <n v="15"/>
    <x v="2"/>
    <s v="Yes"/>
    <x v="0"/>
    <s v="Yes"/>
    <n v="20"/>
    <n v="20"/>
    <n v="45"/>
  </r>
  <r>
    <n v="3444"/>
    <x v="207"/>
    <x v="2"/>
    <x v="212"/>
    <x v="0"/>
    <n v="10"/>
    <x v="2"/>
    <s v="No"/>
    <x v="1"/>
    <s v="Yes"/>
    <n v="20"/>
    <n v="12"/>
    <n v="18"/>
  </r>
  <r>
    <n v="3445"/>
    <x v="37"/>
    <x v="1"/>
    <x v="213"/>
    <x v="1"/>
    <n v="5"/>
    <x v="0"/>
    <s v="No"/>
    <x v="1"/>
    <s v="No"/>
    <n v="0"/>
    <n v="2"/>
    <n v="3"/>
  </r>
  <r>
    <n v="3446"/>
    <x v="208"/>
    <x v="0"/>
    <x v="214"/>
    <x v="0"/>
    <n v="15"/>
    <x v="1"/>
    <s v="Yes"/>
    <x v="0"/>
    <s v="Yes"/>
    <n v="20"/>
    <n v="5"/>
    <n v="60"/>
  </r>
  <r>
    <n v="3447"/>
    <x v="209"/>
    <x v="2"/>
    <x v="215"/>
    <x v="1"/>
    <n v="10"/>
    <x v="0"/>
    <s v="No"/>
    <x v="1"/>
    <s v="Yes"/>
    <n v="20"/>
    <n v="10"/>
    <n v="20"/>
  </r>
  <r>
    <n v="3448"/>
    <x v="210"/>
    <x v="1"/>
    <x v="216"/>
    <x v="0"/>
    <n v="5"/>
    <x v="2"/>
    <s v="No"/>
    <x v="1"/>
    <s v="No"/>
    <n v="0"/>
    <n v="0"/>
    <n v="5"/>
  </r>
  <r>
    <n v="3449"/>
    <x v="211"/>
    <x v="0"/>
    <x v="217"/>
    <x v="1"/>
    <n v="15"/>
    <x v="0"/>
    <s v="Yes"/>
    <x v="0"/>
    <s v="Yes"/>
    <n v="20"/>
    <n v="3"/>
    <n v="62"/>
  </r>
  <r>
    <n v="3450"/>
    <x v="212"/>
    <x v="2"/>
    <x v="218"/>
    <x v="0"/>
    <n v="10"/>
    <x v="1"/>
    <s v="No"/>
    <x v="1"/>
    <s v="Yes"/>
    <n v="20"/>
    <n v="15"/>
    <n v="15"/>
  </r>
  <r>
    <n v="3451"/>
    <x v="213"/>
    <x v="1"/>
    <x v="219"/>
    <x v="1"/>
    <n v="5"/>
    <x v="0"/>
    <s v="No"/>
    <x v="1"/>
    <s v="No"/>
    <n v="0"/>
    <n v="1"/>
    <n v="4"/>
  </r>
  <r>
    <n v="3452"/>
    <x v="191"/>
    <x v="0"/>
    <x v="220"/>
    <x v="0"/>
    <n v="15"/>
    <x v="2"/>
    <s v="Yes"/>
    <x v="0"/>
    <s v="Yes"/>
    <n v="20"/>
    <n v="7"/>
    <n v="58"/>
  </r>
  <r>
    <n v="3453"/>
    <x v="45"/>
    <x v="2"/>
    <x v="221"/>
    <x v="1"/>
    <n v="10"/>
    <x v="0"/>
    <s v="No"/>
    <x v="1"/>
    <s v="Yes"/>
    <n v="20"/>
    <n v="10"/>
    <n v="20"/>
  </r>
  <r>
    <n v="3454"/>
    <x v="214"/>
    <x v="1"/>
    <x v="222"/>
    <x v="0"/>
    <n v="5"/>
    <x v="1"/>
    <s v="No"/>
    <x v="1"/>
    <s v="No"/>
    <n v="0"/>
    <n v="0"/>
    <n v="5"/>
  </r>
  <r>
    <n v="3455"/>
    <x v="215"/>
    <x v="0"/>
    <x v="223"/>
    <x v="1"/>
    <n v="15"/>
    <x v="0"/>
    <s v="Yes"/>
    <x v="0"/>
    <s v="Yes"/>
    <n v="20"/>
    <n v="20"/>
    <n v="45"/>
  </r>
  <r>
    <n v="3456"/>
    <x v="216"/>
    <x v="2"/>
    <x v="224"/>
    <x v="0"/>
    <n v="10"/>
    <x v="2"/>
    <s v="No"/>
    <x v="1"/>
    <s v="Yes"/>
    <n v="20"/>
    <n v="15"/>
    <n v="15"/>
  </r>
  <r>
    <n v="3457"/>
    <x v="217"/>
    <x v="1"/>
    <x v="225"/>
    <x v="1"/>
    <n v="5"/>
    <x v="0"/>
    <s v="No"/>
    <x v="1"/>
    <s v="No"/>
    <n v="0"/>
    <n v="1"/>
    <n v="4"/>
  </r>
  <r>
    <n v="3458"/>
    <x v="218"/>
    <x v="0"/>
    <x v="226"/>
    <x v="0"/>
    <n v="15"/>
    <x v="1"/>
    <s v="Yes"/>
    <x v="0"/>
    <s v="Yes"/>
    <n v="20"/>
    <n v="3"/>
    <n v="62"/>
  </r>
  <r>
    <n v="3459"/>
    <x v="219"/>
    <x v="2"/>
    <x v="227"/>
    <x v="1"/>
    <n v="10"/>
    <x v="0"/>
    <s v="No"/>
    <x v="1"/>
    <s v="Yes"/>
    <n v="20"/>
    <n v="10"/>
    <n v="20"/>
  </r>
  <r>
    <n v="3460"/>
    <x v="127"/>
    <x v="1"/>
    <x v="228"/>
    <x v="0"/>
    <n v="5"/>
    <x v="2"/>
    <s v="No"/>
    <x v="1"/>
    <s v="No"/>
    <n v="0"/>
    <n v="0"/>
    <n v="5"/>
  </r>
  <r>
    <n v="3461"/>
    <x v="220"/>
    <x v="0"/>
    <x v="229"/>
    <x v="1"/>
    <n v="15"/>
    <x v="0"/>
    <s v="Yes"/>
    <x v="0"/>
    <s v="Yes"/>
    <n v="20"/>
    <n v="15"/>
    <n v="50"/>
  </r>
  <r>
    <n v="3462"/>
    <x v="221"/>
    <x v="2"/>
    <x v="230"/>
    <x v="0"/>
    <n v="10"/>
    <x v="1"/>
    <s v="No"/>
    <x v="1"/>
    <s v="Yes"/>
    <n v="20"/>
    <n v="15"/>
    <n v="15"/>
  </r>
  <r>
    <n v="3463"/>
    <x v="222"/>
    <x v="1"/>
    <x v="231"/>
    <x v="1"/>
    <n v="5"/>
    <x v="0"/>
    <s v="No"/>
    <x v="1"/>
    <s v="No"/>
    <n v="0"/>
    <n v="1"/>
    <n v="4"/>
  </r>
  <r>
    <n v="3464"/>
    <x v="223"/>
    <x v="0"/>
    <x v="232"/>
    <x v="0"/>
    <n v="15"/>
    <x v="2"/>
    <s v="Yes"/>
    <x v="0"/>
    <s v="Yes"/>
    <n v="20"/>
    <n v="7"/>
    <n v="58"/>
  </r>
  <r>
    <n v="3465"/>
    <x v="224"/>
    <x v="2"/>
    <x v="233"/>
    <x v="1"/>
    <n v="10"/>
    <x v="0"/>
    <s v="No"/>
    <x v="1"/>
    <s v="Yes"/>
    <n v="20"/>
    <n v="10"/>
    <n v="20"/>
  </r>
  <r>
    <n v="3466"/>
    <x v="225"/>
    <x v="1"/>
    <x v="234"/>
    <x v="0"/>
    <n v="5"/>
    <x v="1"/>
    <s v="No"/>
    <x v="1"/>
    <s v="No"/>
    <n v="0"/>
    <n v="0"/>
    <n v="5"/>
  </r>
  <r>
    <n v="3467"/>
    <x v="226"/>
    <x v="0"/>
    <x v="235"/>
    <x v="1"/>
    <n v="15"/>
    <x v="0"/>
    <s v="Yes"/>
    <x v="0"/>
    <s v="Yes"/>
    <n v="20"/>
    <n v="15"/>
    <n v="50"/>
  </r>
  <r>
    <n v="3468"/>
    <x v="227"/>
    <x v="2"/>
    <x v="236"/>
    <x v="0"/>
    <n v="10"/>
    <x v="2"/>
    <s v="No"/>
    <x v="1"/>
    <s v="Yes"/>
    <n v="20"/>
    <n v="12"/>
    <n v="18"/>
  </r>
  <r>
    <n v="3469"/>
    <x v="228"/>
    <x v="1"/>
    <x v="237"/>
    <x v="1"/>
    <n v="5"/>
    <x v="0"/>
    <s v="No"/>
    <x v="1"/>
    <s v="No"/>
    <n v="0"/>
    <n v="2"/>
    <n v="3"/>
  </r>
  <r>
    <n v="3470"/>
    <x v="229"/>
    <x v="0"/>
    <x v="238"/>
    <x v="0"/>
    <n v="15"/>
    <x v="1"/>
    <s v="Yes"/>
    <x v="0"/>
    <s v="Yes"/>
    <n v="20"/>
    <n v="5"/>
    <n v="60"/>
  </r>
  <r>
    <n v="3471"/>
    <x v="230"/>
    <x v="2"/>
    <x v="239"/>
    <x v="1"/>
    <n v="10"/>
    <x v="0"/>
    <s v="No"/>
    <x v="1"/>
    <s v="Yes"/>
    <n v="20"/>
    <n v="10"/>
    <n v="20"/>
  </r>
  <r>
    <n v="3472"/>
    <x v="231"/>
    <x v="1"/>
    <x v="240"/>
    <x v="0"/>
    <n v="5"/>
    <x v="2"/>
    <s v="No"/>
    <x v="1"/>
    <s v="No"/>
    <n v="0"/>
    <n v="0"/>
    <n v="5"/>
  </r>
  <r>
    <n v="3473"/>
    <x v="140"/>
    <x v="0"/>
    <x v="241"/>
    <x v="1"/>
    <n v="15"/>
    <x v="0"/>
    <s v="Yes"/>
    <x v="0"/>
    <s v="Yes"/>
    <n v="20"/>
    <n v="3"/>
    <n v="62"/>
  </r>
  <r>
    <n v="3474"/>
    <x v="232"/>
    <x v="2"/>
    <x v="242"/>
    <x v="0"/>
    <n v="10"/>
    <x v="1"/>
    <s v="No"/>
    <x v="1"/>
    <s v="Yes"/>
    <n v="20"/>
    <n v="15"/>
    <n v="15"/>
  </r>
  <r>
    <n v="3475"/>
    <x v="233"/>
    <x v="1"/>
    <x v="243"/>
    <x v="1"/>
    <n v="5"/>
    <x v="0"/>
    <s v="No"/>
    <x v="1"/>
    <s v="No"/>
    <n v="0"/>
    <n v="1"/>
    <n v="4"/>
  </r>
  <r>
    <n v="3476"/>
    <x v="234"/>
    <x v="0"/>
    <x v="244"/>
    <x v="0"/>
    <n v="15"/>
    <x v="2"/>
    <s v="Yes"/>
    <x v="0"/>
    <s v="Yes"/>
    <n v="20"/>
    <n v="7"/>
    <n v="58"/>
  </r>
  <r>
    <n v="3477"/>
    <x v="235"/>
    <x v="2"/>
    <x v="245"/>
    <x v="1"/>
    <n v="10"/>
    <x v="0"/>
    <s v="No"/>
    <x v="1"/>
    <s v="Yes"/>
    <n v="20"/>
    <n v="10"/>
    <n v="20"/>
  </r>
  <r>
    <n v="3478"/>
    <x v="236"/>
    <x v="1"/>
    <x v="246"/>
    <x v="0"/>
    <n v="5"/>
    <x v="1"/>
    <s v="No"/>
    <x v="1"/>
    <s v="No"/>
    <n v="0"/>
    <n v="0"/>
    <n v="5"/>
  </r>
  <r>
    <n v="3479"/>
    <x v="237"/>
    <x v="0"/>
    <x v="247"/>
    <x v="1"/>
    <n v="15"/>
    <x v="0"/>
    <s v="Yes"/>
    <x v="0"/>
    <s v="Yes"/>
    <n v="20"/>
    <n v="20"/>
    <n v="45"/>
  </r>
  <r>
    <n v="3480"/>
    <x v="238"/>
    <x v="2"/>
    <x v="248"/>
    <x v="0"/>
    <n v="10"/>
    <x v="2"/>
    <s v="No"/>
    <x v="1"/>
    <s v="Yes"/>
    <n v="20"/>
    <n v="15"/>
    <n v="15"/>
  </r>
  <r>
    <n v="3481"/>
    <x v="239"/>
    <x v="1"/>
    <x v="249"/>
    <x v="1"/>
    <n v="5"/>
    <x v="0"/>
    <s v="No"/>
    <x v="1"/>
    <s v="No"/>
    <n v="0"/>
    <n v="1"/>
    <n v="4"/>
  </r>
  <r>
    <n v="3482"/>
    <x v="240"/>
    <x v="0"/>
    <x v="250"/>
    <x v="0"/>
    <n v="15"/>
    <x v="1"/>
    <s v="Yes"/>
    <x v="0"/>
    <s v="Yes"/>
    <n v="20"/>
    <n v="3"/>
    <n v="62"/>
  </r>
  <r>
    <n v="3483"/>
    <x v="241"/>
    <x v="2"/>
    <x v="251"/>
    <x v="1"/>
    <n v="10"/>
    <x v="0"/>
    <s v="No"/>
    <x v="1"/>
    <s v="Yes"/>
    <n v="20"/>
    <n v="10"/>
    <n v="20"/>
  </r>
  <r>
    <n v="3484"/>
    <x v="242"/>
    <x v="1"/>
    <x v="252"/>
    <x v="0"/>
    <n v="5"/>
    <x v="2"/>
    <s v="No"/>
    <x v="1"/>
    <s v="No"/>
    <n v="0"/>
    <n v="0"/>
    <n v="5"/>
  </r>
  <r>
    <n v="3485"/>
    <x v="243"/>
    <x v="0"/>
    <x v="253"/>
    <x v="1"/>
    <n v="15"/>
    <x v="0"/>
    <s v="Yes"/>
    <x v="0"/>
    <s v="Yes"/>
    <n v="20"/>
    <n v="15"/>
    <n v="50"/>
  </r>
  <r>
    <n v="3486"/>
    <x v="244"/>
    <x v="1"/>
    <x v="254"/>
    <x v="0"/>
    <n v="5"/>
    <x v="0"/>
    <s v="No"/>
    <x v="1"/>
    <s v="No"/>
    <n v="0"/>
    <n v="0"/>
    <n v="5"/>
  </r>
  <r>
    <n v="3487"/>
    <x v="245"/>
    <x v="0"/>
    <x v="255"/>
    <x v="1"/>
    <n v="15"/>
    <x v="2"/>
    <s v="Yes"/>
    <x v="0"/>
    <s v="Yes"/>
    <n v="20"/>
    <n v="7"/>
    <n v="58"/>
  </r>
  <r>
    <n v="3488"/>
    <x v="246"/>
    <x v="2"/>
    <x v="256"/>
    <x v="0"/>
    <n v="10"/>
    <x v="1"/>
    <s v="No"/>
    <x v="1"/>
    <s v="Yes"/>
    <n v="20"/>
    <n v="10"/>
    <n v="20"/>
  </r>
  <r>
    <n v="3489"/>
    <x v="247"/>
    <x v="1"/>
    <x v="257"/>
    <x v="1"/>
    <n v="5"/>
    <x v="2"/>
    <s v="No"/>
    <x v="1"/>
    <s v="No"/>
    <n v="0"/>
    <n v="1"/>
    <n v="4"/>
  </r>
  <r>
    <n v="3490"/>
    <x v="248"/>
    <x v="0"/>
    <x v="258"/>
    <x v="0"/>
    <n v="15"/>
    <x v="0"/>
    <s v="Yes"/>
    <x v="0"/>
    <s v="Yes"/>
    <n v="20"/>
    <n v="15"/>
    <n v="50"/>
  </r>
  <r>
    <n v="3491"/>
    <x v="249"/>
    <x v="2"/>
    <x v="259"/>
    <x v="1"/>
    <n v="10"/>
    <x v="0"/>
    <s v="No"/>
    <x v="1"/>
    <s v="Yes"/>
    <n v="20"/>
    <n v="5"/>
    <n v="25"/>
  </r>
  <r>
    <n v="3492"/>
    <x v="250"/>
    <x v="1"/>
    <x v="260"/>
    <x v="0"/>
    <n v="5"/>
    <x v="1"/>
    <s v="No"/>
    <x v="1"/>
    <s v="No"/>
    <n v="0"/>
    <n v="0"/>
    <n v="5"/>
  </r>
  <r>
    <n v="3493"/>
    <x v="251"/>
    <x v="0"/>
    <x v="261"/>
    <x v="1"/>
    <n v="15"/>
    <x v="2"/>
    <s v="Yes"/>
    <x v="0"/>
    <s v="Yes"/>
    <n v="20"/>
    <n v="20"/>
    <n v="45"/>
  </r>
  <r>
    <n v="3494"/>
    <x v="252"/>
    <x v="2"/>
    <x v="262"/>
    <x v="0"/>
    <n v="10"/>
    <x v="2"/>
    <s v="No"/>
    <x v="1"/>
    <s v="Yes"/>
    <n v="20"/>
    <n v="12"/>
    <n v="18"/>
  </r>
  <r>
    <n v="3495"/>
    <x v="253"/>
    <x v="1"/>
    <x v="263"/>
    <x v="1"/>
    <n v="5"/>
    <x v="0"/>
    <s v="No"/>
    <x v="1"/>
    <s v="No"/>
    <n v="0"/>
    <n v="2"/>
    <n v="3"/>
  </r>
  <r>
    <n v="3496"/>
    <x v="254"/>
    <x v="0"/>
    <x v="264"/>
    <x v="0"/>
    <n v="15"/>
    <x v="1"/>
    <s v="Yes"/>
    <x v="0"/>
    <s v="Yes"/>
    <n v="20"/>
    <n v="5"/>
    <n v="60"/>
  </r>
  <r>
    <n v="3497"/>
    <x v="255"/>
    <x v="2"/>
    <x v="265"/>
    <x v="1"/>
    <n v="10"/>
    <x v="0"/>
    <s v="No"/>
    <x v="1"/>
    <s v="Yes"/>
    <n v="20"/>
    <n v="10"/>
    <n v="20"/>
  </r>
  <r>
    <n v="3498"/>
    <x v="256"/>
    <x v="1"/>
    <x v="266"/>
    <x v="0"/>
    <n v="5"/>
    <x v="2"/>
    <s v="No"/>
    <x v="1"/>
    <s v="No"/>
    <n v="0"/>
    <n v="0"/>
    <n v="5"/>
  </r>
  <r>
    <n v="3499"/>
    <x v="257"/>
    <x v="0"/>
    <x v="267"/>
    <x v="1"/>
    <n v="15"/>
    <x v="0"/>
    <s v="Yes"/>
    <x v="0"/>
    <s v="Yes"/>
    <n v="20"/>
    <n v="3"/>
    <n v="62"/>
  </r>
  <r>
    <n v="3500"/>
    <x v="258"/>
    <x v="2"/>
    <x v="268"/>
    <x v="0"/>
    <n v="10"/>
    <x v="1"/>
    <s v="No"/>
    <x v="1"/>
    <s v="Yes"/>
    <n v="20"/>
    <n v="15"/>
    <n v="15"/>
  </r>
  <r>
    <n v="3501"/>
    <x v="259"/>
    <x v="1"/>
    <x v="269"/>
    <x v="1"/>
    <n v="5"/>
    <x v="0"/>
    <s v="No"/>
    <x v="1"/>
    <s v="No"/>
    <n v="0"/>
    <n v="1"/>
    <n v="4"/>
  </r>
  <r>
    <n v="3502"/>
    <x v="260"/>
    <x v="0"/>
    <x v="270"/>
    <x v="0"/>
    <n v="15"/>
    <x v="2"/>
    <s v="Yes"/>
    <x v="0"/>
    <s v="Yes"/>
    <n v="20"/>
    <n v="7"/>
    <n v="58"/>
  </r>
  <r>
    <n v="3503"/>
    <x v="119"/>
    <x v="2"/>
    <x v="271"/>
    <x v="1"/>
    <n v="10"/>
    <x v="0"/>
    <s v="No"/>
    <x v="1"/>
    <s v="Yes"/>
    <n v="20"/>
    <n v="10"/>
    <n v="20"/>
  </r>
  <r>
    <n v="3504"/>
    <x v="261"/>
    <x v="1"/>
    <x v="272"/>
    <x v="0"/>
    <n v="5"/>
    <x v="1"/>
    <s v="No"/>
    <x v="1"/>
    <s v="No"/>
    <n v="0"/>
    <n v="0"/>
    <n v="5"/>
  </r>
  <r>
    <n v="3505"/>
    <x v="262"/>
    <x v="0"/>
    <x v="273"/>
    <x v="1"/>
    <n v="15"/>
    <x v="0"/>
    <s v="Yes"/>
    <x v="0"/>
    <s v="Yes"/>
    <n v="20"/>
    <n v="20"/>
    <n v="45"/>
  </r>
  <r>
    <n v="3506"/>
    <x v="263"/>
    <x v="2"/>
    <x v="274"/>
    <x v="0"/>
    <n v="10"/>
    <x v="2"/>
    <s v="No"/>
    <x v="1"/>
    <s v="Yes"/>
    <n v="20"/>
    <n v="15"/>
    <n v="15"/>
  </r>
  <r>
    <n v="3507"/>
    <x v="264"/>
    <x v="1"/>
    <x v="275"/>
    <x v="1"/>
    <n v="5"/>
    <x v="0"/>
    <s v="No"/>
    <x v="1"/>
    <s v="No"/>
    <n v="0"/>
    <n v="1"/>
    <n v="4"/>
  </r>
  <r>
    <n v="3508"/>
    <x v="265"/>
    <x v="0"/>
    <x v="276"/>
    <x v="0"/>
    <n v="15"/>
    <x v="1"/>
    <s v="Yes"/>
    <x v="0"/>
    <s v="Yes"/>
    <n v="20"/>
    <n v="3"/>
    <n v="62"/>
  </r>
  <r>
    <n v="3509"/>
    <x v="266"/>
    <x v="2"/>
    <x v="277"/>
    <x v="1"/>
    <n v="10"/>
    <x v="0"/>
    <s v="No"/>
    <x v="1"/>
    <s v="Yes"/>
    <n v="20"/>
    <n v="10"/>
    <n v="20"/>
  </r>
  <r>
    <n v="3510"/>
    <x v="267"/>
    <x v="1"/>
    <x v="278"/>
    <x v="0"/>
    <n v="5"/>
    <x v="2"/>
    <s v="No"/>
    <x v="1"/>
    <s v="No"/>
    <n v="0"/>
    <n v="0"/>
    <n v="5"/>
  </r>
  <r>
    <n v="3511"/>
    <x v="268"/>
    <x v="0"/>
    <x v="279"/>
    <x v="1"/>
    <n v="15"/>
    <x v="0"/>
    <s v="Yes"/>
    <x v="0"/>
    <s v="Yes"/>
    <n v="20"/>
    <n v="15"/>
    <n v="50"/>
  </r>
  <r>
    <n v="3512"/>
    <x v="269"/>
    <x v="2"/>
    <x v="280"/>
    <x v="0"/>
    <n v="10"/>
    <x v="1"/>
    <s v="No"/>
    <x v="1"/>
    <s v="Yes"/>
    <n v="20"/>
    <n v="15"/>
    <n v="15"/>
  </r>
  <r>
    <n v="3513"/>
    <x v="270"/>
    <x v="1"/>
    <x v="281"/>
    <x v="1"/>
    <n v="5"/>
    <x v="0"/>
    <s v="No"/>
    <x v="1"/>
    <s v="No"/>
    <n v="0"/>
    <n v="1"/>
    <n v="4"/>
  </r>
  <r>
    <n v="3514"/>
    <x v="271"/>
    <x v="0"/>
    <x v="282"/>
    <x v="0"/>
    <n v="15"/>
    <x v="2"/>
    <s v="Yes"/>
    <x v="0"/>
    <s v="Yes"/>
    <n v="20"/>
    <n v="7"/>
    <n v="58"/>
  </r>
  <r>
    <n v="3515"/>
    <x v="130"/>
    <x v="2"/>
    <x v="283"/>
    <x v="1"/>
    <n v="10"/>
    <x v="0"/>
    <s v="No"/>
    <x v="1"/>
    <s v="Yes"/>
    <n v="20"/>
    <n v="10"/>
    <n v="20"/>
  </r>
  <r>
    <n v="3516"/>
    <x v="131"/>
    <x v="1"/>
    <x v="284"/>
    <x v="0"/>
    <n v="5"/>
    <x v="1"/>
    <s v="No"/>
    <x v="1"/>
    <s v="No"/>
    <n v="0"/>
    <n v="0"/>
    <n v="5"/>
  </r>
  <r>
    <n v="3517"/>
    <x v="181"/>
    <x v="0"/>
    <x v="285"/>
    <x v="1"/>
    <n v="15"/>
    <x v="0"/>
    <s v="Yes"/>
    <x v="0"/>
    <s v="Yes"/>
    <n v="20"/>
    <n v="20"/>
    <n v="45"/>
  </r>
  <r>
    <n v="3518"/>
    <x v="272"/>
    <x v="2"/>
    <x v="286"/>
    <x v="0"/>
    <n v="10"/>
    <x v="2"/>
    <s v="No"/>
    <x v="1"/>
    <s v="Yes"/>
    <n v="20"/>
    <n v="12"/>
    <n v="18"/>
  </r>
  <r>
    <n v="3519"/>
    <x v="273"/>
    <x v="1"/>
    <x v="287"/>
    <x v="1"/>
    <n v="5"/>
    <x v="0"/>
    <s v="No"/>
    <x v="1"/>
    <s v="No"/>
    <n v="0"/>
    <n v="2"/>
    <n v="3"/>
  </r>
  <r>
    <n v="3520"/>
    <x v="274"/>
    <x v="0"/>
    <x v="288"/>
    <x v="0"/>
    <n v="15"/>
    <x v="1"/>
    <s v="Yes"/>
    <x v="0"/>
    <s v="Yes"/>
    <n v="20"/>
    <n v="5"/>
    <n v="60"/>
  </r>
  <r>
    <n v="3521"/>
    <x v="275"/>
    <x v="2"/>
    <x v="289"/>
    <x v="1"/>
    <n v="10"/>
    <x v="0"/>
    <s v="No"/>
    <x v="1"/>
    <s v="Yes"/>
    <n v="20"/>
    <n v="10"/>
    <n v="20"/>
  </r>
  <r>
    <n v="3522"/>
    <x v="276"/>
    <x v="1"/>
    <x v="290"/>
    <x v="0"/>
    <n v="5"/>
    <x v="2"/>
    <s v="No"/>
    <x v="1"/>
    <s v="No"/>
    <n v="0"/>
    <n v="0"/>
    <n v="5"/>
  </r>
  <r>
    <n v="3523"/>
    <x v="277"/>
    <x v="0"/>
    <x v="291"/>
    <x v="1"/>
    <n v="15"/>
    <x v="0"/>
    <s v="Yes"/>
    <x v="0"/>
    <s v="Yes"/>
    <n v="20"/>
    <n v="3"/>
    <n v="62"/>
  </r>
  <r>
    <n v="3524"/>
    <x v="278"/>
    <x v="2"/>
    <x v="292"/>
    <x v="0"/>
    <n v="10"/>
    <x v="1"/>
    <s v="No"/>
    <x v="1"/>
    <s v="Yes"/>
    <n v="20"/>
    <n v="15"/>
    <n v="15"/>
  </r>
  <r>
    <n v="3525"/>
    <x v="279"/>
    <x v="1"/>
    <x v="293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4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AEBA6-5635-45F9-9AA4-83F49CDA6684}" name="Tabela dinâmica5" cacheId="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B45:C49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axis="axisPage" compact="0" outline="0" multipleItemSelectionAllowed="1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C99E5-9842-4BD1-9627-EFDEF4999BE4}" name="Tabela dinâmica4" cacheId="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B56:C60" firstHeaderRow="1" firstDataRow="1" firstDataCol="1" rowPageCount="1" colPageCount="1"/>
  <pivotFields count="13">
    <pivotField compact="0" outline="0" showAll="0"/>
    <pivotField axis="axisRow" compact="0" outline="0" showAll="0" measureFilter="1" sortType="descending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4" outline="0" showAll="0"/>
    <pivotField compact="0" outline="0" showAll="0"/>
    <pivotField compact="0" numFmtId="44" outline="0" showAll="0"/>
    <pivotField axis="axisPage" compact="0" outline="0" multipleItemSelectionAllowed="1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1"/>
  </rowFields>
  <rowItems count="4">
    <i>
      <x v="103"/>
    </i>
    <i>
      <x v="77"/>
    </i>
    <i>
      <x v="39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0E37B972-E30D-4D56-A967-F15E51CD67BD}" sourceName="Subscription Type">
  <pivotTables>
    <pivotTable tabId="3" name="Tabela dinâmica4"/>
  </pivotTables>
  <data>
    <tabular pivotCacheId="1765956580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9D15D631-1D3B-498C-AC1D-2B0C0D4FE0DD}" sourceName="Plan">
  <pivotTables>
    <pivotTable tabId="3" name="Tabela dinâmica5"/>
  </pivotTables>
  <data>
    <tabular pivotCacheId="1765956580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  <slicer name="Subscription Type 1" xr10:uid="{2AFDF5DE-1E4D-4C59-A2FD-EDA828F8180B}" cache="SegmentaçãodeDados_Subscription_Type1" caption="TOP 3 " style="SlicerStyleLight6 2" rowHeight="228600"/>
  <slicer name="Plan" xr10:uid="{2C67A380-4DAE-40D4-9114-87BF20FB77FC}" cache="SegmentaçãodeDados_Plan" caption="PLAN" style="SlicerStyleLight6 2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4">
  <autoFilter ref="A1:M296" xr:uid="{34E0E886-4200-4B36-97B3-63DB74FF40A0}"/>
  <tableColumns count="13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131E91-1823-431D-A53A-2E093F401F04}" name="Tabela2" displayName="Tabela2" ref="A3:M104" totalsRowShown="0">
  <autoFilter ref="A3:M104" xr:uid="{05131E91-1823-431D-A53A-2E093F401F04}"/>
  <tableColumns count="13">
    <tableColumn id="1" xr3:uid="{928D1837-50AB-4ED1-8926-8B87A92874CE}" name="Subscriber ID"/>
    <tableColumn id="2" xr3:uid="{10D04F7D-1E1B-4128-B285-F1D559B88BA4}" name="Name"/>
    <tableColumn id="3" xr3:uid="{AD0D6CD2-CE8D-408C-A3B2-52A99FA07369}" name="Plan"/>
    <tableColumn id="4" xr3:uid="{6A56EEFA-EF06-4F5A-BF04-7E34154E72BE}" name="Start Date" dataDxfId="0"/>
    <tableColumn id="5" xr3:uid="{45EC6826-F4FD-4B61-A462-8F662A636570}" name="Auto Renewal"/>
    <tableColumn id="6" xr3:uid="{D34F9A21-DC63-46B6-A4B8-81F8F224F623}" name="Subscription Price"/>
    <tableColumn id="7" xr3:uid="{0DF9A7DA-A033-4FAB-91DC-658E1E2CE499}" name="Subscription Type"/>
    <tableColumn id="8" xr3:uid="{84E63C3D-F4D9-42A7-A70C-A125957162A9}" name="EA Play Season Pass"/>
    <tableColumn id="9" xr3:uid="{55B95EBD-34D4-4FBC-A54D-B7E0815A89E3}" name="EA Play Season Pass_x000a_Price"/>
    <tableColumn id="10" xr3:uid="{AC96A6F9-ED7A-4E22-A906-C74820F10852}" name="Minecraft Season Pass"/>
    <tableColumn id="11" xr3:uid="{479E497E-48F4-44F6-A4FD-D0EF4D2A72AA}" name="Minecraft Season Pass Price"/>
    <tableColumn id="12" xr3:uid="{39192891-E91B-4668-A0F2-678DEF5BFBDE}" name="Coupon Value"/>
    <tableColumn id="13" xr3:uid="{CCCECDBD-67BB-47CE-BEC4-0E633554DEB7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0" zoomScaleNormal="100" workbookViewId="0">
      <selection activeCell="B6" sqref="B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2" sqref="A2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4193-9D19-4949-AB96-E2D80C2FB4B2}">
  <dimension ref="A1:M104"/>
  <sheetViews>
    <sheetView workbookViewId="0">
      <selection activeCell="B34" sqref="B34"/>
    </sheetView>
  </sheetViews>
  <sheetFormatPr defaultRowHeight="15"/>
  <cols>
    <col min="1" max="1" width="15.140625" bestFit="1" customWidth="1"/>
    <col min="2" max="2" width="16.85546875" bestFit="1" customWidth="1"/>
    <col min="4" max="4" width="12" bestFit="1" customWidth="1"/>
    <col min="5" max="5" width="15.28515625" bestFit="1" customWidth="1"/>
    <col min="6" max="6" width="19.42578125" bestFit="1" customWidth="1"/>
    <col min="7" max="7" width="19" bestFit="1" customWidth="1"/>
    <col min="8" max="8" width="21.140625" bestFit="1" customWidth="1"/>
    <col min="9" max="9" width="25.5703125" bestFit="1" customWidth="1"/>
    <col min="10" max="10" width="23.140625" bestFit="1" customWidth="1"/>
    <col min="11" max="11" width="28.140625" bestFit="1" customWidth="1"/>
    <col min="12" max="12" width="15.5703125" bestFit="1" customWidth="1"/>
    <col min="13" max="13" width="13" bestFit="1" customWidth="1"/>
  </cols>
  <sheetData>
    <row r="1" spans="1:13">
      <c r="A1" s="20"/>
    </row>
    <row r="3" spans="1:1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>
      <c r="A4">
        <v>3525</v>
      </c>
      <c r="B4" t="s">
        <v>312</v>
      </c>
      <c r="C4" t="s">
        <v>29</v>
      </c>
      <c r="D4" s="17">
        <v>45642</v>
      </c>
      <c r="E4" t="s">
        <v>30</v>
      </c>
      <c r="F4">
        <v>5</v>
      </c>
      <c r="G4" t="s">
        <v>27</v>
      </c>
      <c r="H4" t="s">
        <v>30</v>
      </c>
      <c r="I4" t="s">
        <v>32</v>
      </c>
      <c r="J4" t="s">
        <v>30</v>
      </c>
      <c r="K4">
        <v>0</v>
      </c>
      <c r="L4">
        <v>1</v>
      </c>
      <c r="M4">
        <v>4</v>
      </c>
    </row>
    <row r="5" spans="1:13">
      <c r="A5">
        <v>3232</v>
      </c>
      <c r="B5" t="s">
        <v>28</v>
      </c>
      <c r="C5" t="s">
        <v>29</v>
      </c>
      <c r="D5" s="17">
        <v>45306</v>
      </c>
      <c r="E5" t="s">
        <v>30</v>
      </c>
      <c r="F5">
        <v>5</v>
      </c>
      <c r="G5" t="s">
        <v>31</v>
      </c>
      <c r="H5" t="s">
        <v>30</v>
      </c>
      <c r="I5" t="s">
        <v>32</v>
      </c>
      <c r="J5" t="s">
        <v>30</v>
      </c>
      <c r="K5">
        <v>0</v>
      </c>
      <c r="L5">
        <v>0</v>
      </c>
      <c r="M5">
        <v>5</v>
      </c>
    </row>
    <row r="6" spans="1:13">
      <c r="A6">
        <v>3522</v>
      </c>
      <c r="B6" t="s">
        <v>309</v>
      </c>
      <c r="C6" t="s">
        <v>29</v>
      </c>
      <c r="D6" s="17">
        <v>45639</v>
      </c>
      <c r="E6" t="s">
        <v>26</v>
      </c>
      <c r="F6">
        <v>5</v>
      </c>
      <c r="G6" t="s">
        <v>35</v>
      </c>
      <c r="H6" t="s">
        <v>30</v>
      </c>
      <c r="I6" t="s">
        <v>32</v>
      </c>
      <c r="J6" t="s">
        <v>30</v>
      </c>
      <c r="K6">
        <v>0</v>
      </c>
      <c r="L6">
        <v>0</v>
      </c>
      <c r="M6">
        <v>5</v>
      </c>
    </row>
    <row r="7" spans="1:13">
      <c r="A7">
        <v>3519</v>
      </c>
      <c r="B7" t="s">
        <v>306</v>
      </c>
      <c r="C7" t="s">
        <v>29</v>
      </c>
      <c r="D7" s="17">
        <v>45636</v>
      </c>
      <c r="E7" t="s">
        <v>30</v>
      </c>
      <c r="F7">
        <v>5</v>
      </c>
      <c r="G7" t="s">
        <v>27</v>
      </c>
      <c r="H7" t="s">
        <v>30</v>
      </c>
      <c r="I7" t="s">
        <v>32</v>
      </c>
      <c r="J7" t="s">
        <v>30</v>
      </c>
      <c r="K7">
        <v>0</v>
      </c>
      <c r="L7">
        <v>2</v>
      </c>
      <c r="M7">
        <v>3</v>
      </c>
    </row>
    <row r="8" spans="1:13">
      <c r="A8">
        <v>3235</v>
      </c>
      <c r="B8" t="s">
        <v>37</v>
      </c>
      <c r="C8" t="s">
        <v>29</v>
      </c>
      <c r="D8" s="17">
        <v>45356</v>
      </c>
      <c r="E8" t="s">
        <v>26</v>
      </c>
      <c r="F8">
        <v>5</v>
      </c>
      <c r="G8" t="s">
        <v>27</v>
      </c>
      <c r="H8" t="s">
        <v>30</v>
      </c>
      <c r="I8" t="s">
        <v>32</v>
      </c>
      <c r="J8" t="s">
        <v>30</v>
      </c>
      <c r="K8">
        <v>0</v>
      </c>
      <c r="L8">
        <v>1</v>
      </c>
      <c r="M8">
        <v>4</v>
      </c>
    </row>
    <row r="9" spans="1:13">
      <c r="A9">
        <v>3516</v>
      </c>
      <c r="B9" t="s">
        <v>164</v>
      </c>
      <c r="C9" t="s">
        <v>29</v>
      </c>
      <c r="D9" s="17">
        <v>45633</v>
      </c>
      <c r="E9" t="s">
        <v>26</v>
      </c>
      <c r="F9">
        <v>5</v>
      </c>
      <c r="G9" t="s">
        <v>31</v>
      </c>
      <c r="H9" t="s">
        <v>30</v>
      </c>
      <c r="I9" t="s">
        <v>32</v>
      </c>
      <c r="J9" t="s">
        <v>30</v>
      </c>
      <c r="K9">
        <v>0</v>
      </c>
      <c r="L9">
        <v>0</v>
      </c>
      <c r="M9">
        <v>5</v>
      </c>
    </row>
    <row r="10" spans="1:13">
      <c r="A10">
        <v>3513</v>
      </c>
      <c r="B10" t="s">
        <v>303</v>
      </c>
      <c r="C10" t="s">
        <v>29</v>
      </c>
      <c r="D10" s="17">
        <v>45630</v>
      </c>
      <c r="E10" t="s">
        <v>30</v>
      </c>
      <c r="F10">
        <v>5</v>
      </c>
      <c r="G10" t="s">
        <v>27</v>
      </c>
      <c r="H10" t="s">
        <v>30</v>
      </c>
      <c r="I10" t="s">
        <v>32</v>
      </c>
      <c r="J10" t="s">
        <v>30</v>
      </c>
      <c r="K10">
        <v>0</v>
      </c>
      <c r="L10">
        <v>1</v>
      </c>
      <c r="M10">
        <v>4</v>
      </c>
    </row>
    <row r="11" spans="1:13">
      <c r="A11">
        <v>3238</v>
      </c>
      <c r="B11" t="s">
        <v>40</v>
      </c>
      <c r="C11" t="s">
        <v>29</v>
      </c>
      <c r="D11" s="17">
        <v>45355</v>
      </c>
      <c r="E11" t="s">
        <v>26</v>
      </c>
      <c r="F11">
        <v>5</v>
      </c>
      <c r="G11" t="s">
        <v>31</v>
      </c>
      <c r="H11" t="s">
        <v>30</v>
      </c>
      <c r="I11" t="s">
        <v>32</v>
      </c>
      <c r="J11" t="s">
        <v>30</v>
      </c>
      <c r="K11">
        <v>0</v>
      </c>
      <c r="L11">
        <v>0</v>
      </c>
      <c r="M11">
        <v>5</v>
      </c>
    </row>
    <row r="12" spans="1:13">
      <c r="A12">
        <v>3510</v>
      </c>
      <c r="B12" t="s">
        <v>300</v>
      </c>
      <c r="C12" t="s">
        <v>29</v>
      </c>
      <c r="D12" s="17">
        <v>45627</v>
      </c>
      <c r="E12" t="s">
        <v>26</v>
      </c>
      <c r="F12">
        <v>5</v>
      </c>
      <c r="G12" t="s">
        <v>35</v>
      </c>
      <c r="H12" t="s">
        <v>30</v>
      </c>
      <c r="I12" t="s">
        <v>32</v>
      </c>
      <c r="J12" t="s">
        <v>30</v>
      </c>
      <c r="K12">
        <v>0</v>
      </c>
      <c r="L12">
        <v>0</v>
      </c>
      <c r="M12">
        <v>5</v>
      </c>
    </row>
    <row r="13" spans="1:13">
      <c r="A13">
        <v>3507</v>
      </c>
      <c r="B13" t="s">
        <v>297</v>
      </c>
      <c r="C13" t="s">
        <v>29</v>
      </c>
      <c r="D13" s="17">
        <v>45624</v>
      </c>
      <c r="E13" t="s">
        <v>30</v>
      </c>
      <c r="F13">
        <v>5</v>
      </c>
      <c r="G13" t="s">
        <v>27</v>
      </c>
      <c r="H13" t="s">
        <v>30</v>
      </c>
      <c r="I13" t="s">
        <v>32</v>
      </c>
      <c r="J13" t="s">
        <v>30</v>
      </c>
      <c r="K13">
        <v>0</v>
      </c>
      <c r="L13">
        <v>1</v>
      </c>
      <c r="M13">
        <v>4</v>
      </c>
    </row>
    <row r="14" spans="1:13">
      <c r="A14">
        <v>3241</v>
      </c>
      <c r="B14" t="s">
        <v>43</v>
      </c>
      <c r="C14" t="s">
        <v>29</v>
      </c>
      <c r="D14" s="17">
        <v>45358</v>
      </c>
      <c r="E14" t="s">
        <v>30</v>
      </c>
      <c r="F14">
        <v>5</v>
      </c>
      <c r="G14" t="s">
        <v>27</v>
      </c>
      <c r="H14" t="s">
        <v>30</v>
      </c>
      <c r="I14" t="s">
        <v>32</v>
      </c>
      <c r="J14" t="s">
        <v>30</v>
      </c>
      <c r="K14">
        <v>0</v>
      </c>
      <c r="L14">
        <v>1</v>
      </c>
      <c r="M14">
        <v>4</v>
      </c>
    </row>
    <row r="15" spans="1:13">
      <c r="A15">
        <v>3504</v>
      </c>
      <c r="B15" t="s">
        <v>294</v>
      </c>
      <c r="C15" t="s">
        <v>29</v>
      </c>
      <c r="D15" s="17">
        <v>45621</v>
      </c>
      <c r="E15" t="s">
        <v>26</v>
      </c>
      <c r="F15">
        <v>5</v>
      </c>
      <c r="G15" t="s">
        <v>31</v>
      </c>
      <c r="H15" t="s">
        <v>30</v>
      </c>
      <c r="I15" t="s">
        <v>32</v>
      </c>
      <c r="J15" t="s">
        <v>30</v>
      </c>
      <c r="K15">
        <v>0</v>
      </c>
      <c r="L15">
        <v>0</v>
      </c>
      <c r="M15">
        <v>5</v>
      </c>
    </row>
    <row r="16" spans="1:13">
      <c r="A16">
        <v>3501</v>
      </c>
      <c r="B16" t="s">
        <v>292</v>
      </c>
      <c r="C16" t="s">
        <v>29</v>
      </c>
      <c r="D16" s="17">
        <v>45618</v>
      </c>
      <c r="E16" t="s">
        <v>30</v>
      </c>
      <c r="F16">
        <v>5</v>
      </c>
      <c r="G16" t="s">
        <v>27</v>
      </c>
      <c r="H16" t="s">
        <v>30</v>
      </c>
      <c r="I16" t="s">
        <v>32</v>
      </c>
      <c r="J16" t="s">
        <v>30</v>
      </c>
      <c r="K16">
        <v>0</v>
      </c>
      <c r="L16">
        <v>1</v>
      </c>
      <c r="M16">
        <v>4</v>
      </c>
    </row>
    <row r="17" spans="1:13">
      <c r="A17">
        <v>3244</v>
      </c>
      <c r="B17" t="s">
        <v>46</v>
      </c>
      <c r="C17" t="s">
        <v>29</v>
      </c>
      <c r="D17" s="17">
        <v>45361</v>
      </c>
      <c r="E17" t="s">
        <v>26</v>
      </c>
      <c r="F17">
        <v>5</v>
      </c>
      <c r="G17" t="s">
        <v>35</v>
      </c>
      <c r="H17" t="s">
        <v>30</v>
      </c>
      <c r="I17" t="s">
        <v>32</v>
      </c>
      <c r="J17" t="s">
        <v>30</v>
      </c>
      <c r="K17">
        <v>0</v>
      </c>
      <c r="L17">
        <v>0</v>
      </c>
      <c r="M17">
        <v>5</v>
      </c>
    </row>
    <row r="18" spans="1:13">
      <c r="A18">
        <v>3498</v>
      </c>
      <c r="B18" t="s">
        <v>289</v>
      </c>
      <c r="C18" t="s">
        <v>29</v>
      </c>
      <c r="D18" s="17">
        <v>45615</v>
      </c>
      <c r="E18" t="s">
        <v>26</v>
      </c>
      <c r="F18">
        <v>5</v>
      </c>
      <c r="G18" t="s">
        <v>35</v>
      </c>
      <c r="H18" t="s">
        <v>30</v>
      </c>
      <c r="I18" t="s">
        <v>32</v>
      </c>
      <c r="J18" t="s">
        <v>30</v>
      </c>
      <c r="K18">
        <v>0</v>
      </c>
      <c r="L18">
        <v>0</v>
      </c>
      <c r="M18">
        <v>5</v>
      </c>
    </row>
    <row r="19" spans="1:13">
      <c r="A19">
        <v>3495</v>
      </c>
      <c r="B19" t="s">
        <v>286</v>
      </c>
      <c r="C19" t="s">
        <v>29</v>
      </c>
      <c r="D19" s="17">
        <v>45612</v>
      </c>
      <c r="E19" t="s">
        <v>30</v>
      </c>
      <c r="F19">
        <v>5</v>
      </c>
      <c r="G19" t="s">
        <v>27</v>
      </c>
      <c r="H19" t="s">
        <v>30</v>
      </c>
      <c r="I19" t="s">
        <v>32</v>
      </c>
      <c r="J19" t="s">
        <v>30</v>
      </c>
      <c r="K19">
        <v>0</v>
      </c>
      <c r="L19">
        <v>2</v>
      </c>
      <c r="M19">
        <v>3</v>
      </c>
    </row>
    <row r="20" spans="1:13">
      <c r="A20">
        <v>3247</v>
      </c>
      <c r="B20" t="s">
        <v>49</v>
      </c>
      <c r="C20" t="s">
        <v>29</v>
      </c>
      <c r="D20" s="17">
        <v>45364</v>
      </c>
      <c r="E20" t="s">
        <v>30</v>
      </c>
      <c r="F20">
        <v>5</v>
      </c>
      <c r="G20" t="s">
        <v>27</v>
      </c>
      <c r="H20" t="s">
        <v>30</v>
      </c>
      <c r="I20" t="s">
        <v>32</v>
      </c>
      <c r="J20" t="s">
        <v>30</v>
      </c>
      <c r="K20">
        <v>0</v>
      </c>
      <c r="L20">
        <v>2</v>
      </c>
      <c r="M20">
        <v>3</v>
      </c>
    </row>
    <row r="21" spans="1:13">
      <c r="A21">
        <v>3492</v>
      </c>
      <c r="B21" t="s">
        <v>283</v>
      </c>
      <c r="C21" t="s">
        <v>29</v>
      </c>
      <c r="D21" s="17">
        <v>45609</v>
      </c>
      <c r="E21" t="s">
        <v>26</v>
      </c>
      <c r="F21">
        <v>5</v>
      </c>
      <c r="G21" t="s">
        <v>31</v>
      </c>
      <c r="H21" t="s">
        <v>30</v>
      </c>
      <c r="I21" t="s">
        <v>32</v>
      </c>
      <c r="J21" t="s">
        <v>30</v>
      </c>
      <c r="K21">
        <v>0</v>
      </c>
      <c r="L21">
        <v>0</v>
      </c>
      <c r="M21">
        <v>5</v>
      </c>
    </row>
    <row r="22" spans="1:13">
      <c r="A22">
        <v>3489</v>
      </c>
      <c r="B22" t="s">
        <v>280</v>
      </c>
      <c r="C22" t="s">
        <v>29</v>
      </c>
      <c r="D22" s="17">
        <v>45606</v>
      </c>
      <c r="E22" t="s">
        <v>30</v>
      </c>
      <c r="F22">
        <v>5</v>
      </c>
      <c r="G22" t="s">
        <v>35</v>
      </c>
      <c r="H22" t="s">
        <v>30</v>
      </c>
      <c r="I22" t="s">
        <v>32</v>
      </c>
      <c r="J22" t="s">
        <v>30</v>
      </c>
      <c r="K22">
        <v>0</v>
      </c>
      <c r="L22">
        <v>1</v>
      </c>
      <c r="M22">
        <v>4</v>
      </c>
    </row>
    <row r="23" spans="1:13">
      <c r="A23">
        <v>3250</v>
      </c>
      <c r="B23" t="s">
        <v>52</v>
      </c>
      <c r="C23" t="s">
        <v>29</v>
      </c>
      <c r="D23" s="17">
        <v>45367</v>
      </c>
      <c r="E23" t="s">
        <v>26</v>
      </c>
      <c r="F23">
        <v>5</v>
      </c>
      <c r="G23" t="s">
        <v>31</v>
      </c>
      <c r="H23" t="s">
        <v>30</v>
      </c>
      <c r="I23" t="s">
        <v>32</v>
      </c>
      <c r="J23" t="s">
        <v>30</v>
      </c>
      <c r="K23">
        <v>0</v>
      </c>
      <c r="L23">
        <v>0</v>
      </c>
      <c r="M23">
        <v>5</v>
      </c>
    </row>
    <row r="24" spans="1:13">
      <c r="A24">
        <v>3486</v>
      </c>
      <c r="B24" t="s">
        <v>277</v>
      </c>
      <c r="C24" t="s">
        <v>29</v>
      </c>
      <c r="D24" s="17">
        <v>45603</v>
      </c>
      <c r="E24" t="s">
        <v>26</v>
      </c>
      <c r="F24">
        <v>5</v>
      </c>
      <c r="G24" t="s">
        <v>27</v>
      </c>
      <c r="H24" t="s">
        <v>30</v>
      </c>
      <c r="I24" t="s">
        <v>32</v>
      </c>
      <c r="J24" t="s">
        <v>30</v>
      </c>
      <c r="K24">
        <v>0</v>
      </c>
      <c r="L24">
        <v>0</v>
      </c>
      <c r="M24">
        <v>5</v>
      </c>
    </row>
    <row r="25" spans="1:13">
      <c r="A25">
        <v>3484</v>
      </c>
      <c r="B25" t="s">
        <v>275</v>
      </c>
      <c r="C25" t="s">
        <v>29</v>
      </c>
      <c r="D25" s="17">
        <v>45601</v>
      </c>
      <c r="E25" t="s">
        <v>26</v>
      </c>
      <c r="F25">
        <v>5</v>
      </c>
      <c r="G25" t="s">
        <v>35</v>
      </c>
      <c r="H25" t="s">
        <v>30</v>
      </c>
      <c r="I25" t="s">
        <v>32</v>
      </c>
      <c r="J25" t="s">
        <v>30</v>
      </c>
      <c r="K25">
        <v>0</v>
      </c>
      <c r="L25">
        <v>0</v>
      </c>
      <c r="M25">
        <v>5</v>
      </c>
    </row>
    <row r="26" spans="1:13">
      <c r="A26">
        <v>3253</v>
      </c>
      <c r="B26" t="s">
        <v>55</v>
      </c>
      <c r="C26" t="s">
        <v>29</v>
      </c>
      <c r="D26" s="17">
        <v>45370</v>
      </c>
      <c r="E26" t="s">
        <v>30</v>
      </c>
      <c r="F26">
        <v>5</v>
      </c>
      <c r="G26" t="s">
        <v>27</v>
      </c>
      <c r="H26" t="s">
        <v>30</v>
      </c>
      <c r="I26" t="s">
        <v>32</v>
      </c>
      <c r="J26" t="s">
        <v>30</v>
      </c>
      <c r="K26">
        <v>0</v>
      </c>
      <c r="L26">
        <v>1</v>
      </c>
      <c r="M26">
        <v>4</v>
      </c>
    </row>
    <row r="27" spans="1:13">
      <c r="A27">
        <v>3481</v>
      </c>
      <c r="B27" t="s">
        <v>272</v>
      </c>
      <c r="C27" t="s">
        <v>29</v>
      </c>
      <c r="D27" s="17">
        <v>45598</v>
      </c>
      <c r="E27" t="s">
        <v>30</v>
      </c>
      <c r="F27">
        <v>5</v>
      </c>
      <c r="G27" t="s">
        <v>27</v>
      </c>
      <c r="H27" t="s">
        <v>30</v>
      </c>
      <c r="I27" t="s">
        <v>32</v>
      </c>
      <c r="J27" t="s">
        <v>30</v>
      </c>
      <c r="K27">
        <v>0</v>
      </c>
      <c r="L27">
        <v>1</v>
      </c>
      <c r="M27">
        <v>4</v>
      </c>
    </row>
    <row r="28" spans="1:13">
      <c r="A28">
        <v>3478</v>
      </c>
      <c r="B28" t="s">
        <v>269</v>
      </c>
      <c r="C28" t="s">
        <v>29</v>
      </c>
      <c r="D28" s="17">
        <v>45595</v>
      </c>
      <c r="E28" t="s">
        <v>26</v>
      </c>
      <c r="F28">
        <v>5</v>
      </c>
      <c r="G28" t="s">
        <v>31</v>
      </c>
      <c r="H28" t="s">
        <v>30</v>
      </c>
      <c r="I28" t="s">
        <v>32</v>
      </c>
      <c r="J28" t="s">
        <v>30</v>
      </c>
      <c r="K28">
        <v>0</v>
      </c>
      <c r="L28">
        <v>0</v>
      </c>
      <c r="M28">
        <v>5</v>
      </c>
    </row>
    <row r="29" spans="1:13">
      <c r="A29">
        <v>3256</v>
      </c>
      <c r="B29" t="s">
        <v>58</v>
      </c>
      <c r="C29" t="s">
        <v>29</v>
      </c>
      <c r="D29" s="17">
        <v>45373</v>
      </c>
      <c r="E29" t="s">
        <v>26</v>
      </c>
      <c r="F29">
        <v>5</v>
      </c>
      <c r="G29" t="s">
        <v>35</v>
      </c>
      <c r="H29" t="s">
        <v>30</v>
      </c>
      <c r="I29" t="s">
        <v>32</v>
      </c>
      <c r="J29" t="s">
        <v>30</v>
      </c>
      <c r="K29">
        <v>0</v>
      </c>
      <c r="L29">
        <v>0</v>
      </c>
      <c r="M29">
        <v>5</v>
      </c>
    </row>
    <row r="30" spans="1:13">
      <c r="A30">
        <v>3475</v>
      </c>
      <c r="B30" t="s">
        <v>266</v>
      </c>
      <c r="C30" t="s">
        <v>29</v>
      </c>
      <c r="D30" s="17">
        <v>45592</v>
      </c>
      <c r="E30" t="s">
        <v>30</v>
      </c>
      <c r="F30">
        <v>5</v>
      </c>
      <c r="G30" t="s">
        <v>27</v>
      </c>
      <c r="H30" t="s">
        <v>30</v>
      </c>
      <c r="I30" t="s">
        <v>32</v>
      </c>
      <c r="J30" t="s">
        <v>30</v>
      </c>
      <c r="K30">
        <v>0</v>
      </c>
      <c r="L30">
        <v>1</v>
      </c>
      <c r="M30">
        <v>4</v>
      </c>
    </row>
    <row r="31" spans="1:13">
      <c r="A31">
        <v>3472</v>
      </c>
      <c r="B31" t="s">
        <v>264</v>
      </c>
      <c r="C31" t="s">
        <v>29</v>
      </c>
      <c r="D31" s="17">
        <v>45589</v>
      </c>
      <c r="E31" t="s">
        <v>26</v>
      </c>
      <c r="F31">
        <v>5</v>
      </c>
      <c r="G31" t="s">
        <v>35</v>
      </c>
      <c r="H31" t="s">
        <v>30</v>
      </c>
      <c r="I31" t="s">
        <v>32</v>
      </c>
      <c r="J31" t="s">
        <v>30</v>
      </c>
      <c r="K31">
        <v>0</v>
      </c>
      <c r="L31">
        <v>0</v>
      </c>
      <c r="M31">
        <v>5</v>
      </c>
    </row>
    <row r="32" spans="1:13">
      <c r="A32">
        <v>3259</v>
      </c>
      <c r="B32" t="s">
        <v>61</v>
      </c>
      <c r="C32" t="s">
        <v>29</v>
      </c>
      <c r="D32" s="17">
        <v>45376</v>
      </c>
      <c r="E32" t="s">
        <v>30</v>
      </c>
      <c r="F32">
        <v>5</v>
      </c>
      <c r="G32" t="s">
        <v>27</v>
      </c>
      <c r="H32" t="s">
        <v>30</v>
      </c>
      <c r="I32" t="s">
        <v>32</v>
      </c>
      <c r="J32" t="s">
        <v>30</v>
      </c>
      <c r="K32">
        <v>0</v>
      </c>
      <c r="L32">
        <v>1</v>
      </c>
      <c r="M32">
        <v>4</v>
      </c>
    </row>
    <row r="33" spans="1:13">
      <c r="A33">
        <v>3469</v>
      </c>
      <c r="B33" t="s">
        <v>261</v>
      </c>
      <c r="C33" t="s">
        <v>29</v>
      </c>
      <c r="D33" s="17">
        <v>45586</v>
      </c>
      <c r="E33" t="s">
        <v>30</v>
      </c>
      <c r="F33">
        <v>5</v>
      </c>
      <c r="G33" t="s">
        <v>27</v>
      </c>
      <c r="H33" t="s">
        <v>30</v>
      </c>
      <c r="I33" t="s">
        <v>32</v>
      </c>
      <c r="J33" t="s">
        <v>30</v>
      </c>
      <c r="K33">
        <v>0</v>
      </c>
      <c r="L33">
        <v>2</v>
      </c>
      <c r="M33">
        <v>3</v>
      </c>
    </row>
    <row r="34" spans="1:13">
      <c r="A34">
        <v>3466</v>
      </c>
      <c r="C34" t="s">
        <v>29</v>
      </c>
      <c r="D34" s="17">
        <v>45583</v>
      </c>
      <c r="E34" t="s">
        <v>26</v>
      </c>
      <c r="F34">
        <v>5</v>
      </c>
      <c r="G34" t="s">
        <v>31</v>
      </c>
      <c r="H34" t="s">
        <v>30</v>
      </c>
      <c r="I34" t="s">
        <v>32</v>
      </c>
      <c r="J34" t="s">
        <v>30</v>
      </c>
      <c r="K34">
        <v>0</v>
      </c>
      <c r="L34">
        <v>0</v>
      </c>
      <c r="M34">
        <v>5</v>
      </c>
    </row>
    <row r="35" spans="1:13">
      <c r="A35">
        <v>3262</v>
      </c>
      <c r="B35" t="s">
        <v>64</v>
      </c>
      <c r="C35" t="s">
        <v>29</v>
      </c>
      <c r="D35" s="17">
        <v>45379</v>
      </c>
      <c r="E35" t="s">
        <v>26</v>
      </c>
      <c r="F35">
        <v>5</v>
      </c>
      <c r="G35" t="s">
        <v>31</v>
      </c>
      <c r="H35" t="s">
        <v>30</v>
      </c>
      <c r="I35" t="s">
        <v>32</v>
      </c>
      <c r="J35" t="s">
        <v>30</v>
      </c>
      <c r="K35">
        <v>0</v>
      </c>
      <c r="L35">
        <v>0</v>
      </c>
      <c r="M35">
        <v>5</v>
      </c>
    </row>
    <row r="36" spans="1:13">
      <c r="A36">
        <v>3463</v>
      </c>
      <c r="B36" t="s">
        <v>255</v>
      </c>
      <c r="C36" t="s">
        <v>29</v>
      </c>
      <c r="D36" s="17">
        <v>45580</v>
      </c>
      <c r="E36" t="s">
        <v>30</v>
      </c>
      <c r="F36">
        <v>5</v>
      </c>
      <c r="G36" t="s">
        <v>27</v>
      </c>
      <c r="H36" t="s">
        <v>30</v>
      </c>
      <c r="I36" t="s">
        <v>32</v>
      </c>
      <c r="J36" t="s">
        <v>30</v>
      </c>
      <c r="K36">
        <v>0</v>
      </c>
      <c r="L36">
        <v>1</v>
      </c>
      <c r="M36">
        <v>4</v>
      </c>
    </row>
    <row r="37" spans="1:13">
      <c r="A37">
        <v>3460</v>
      </c>
      <c r="B37" t="s">
        <v>160</v>
      </c>
      <c r="C37" t="s">
        <v>29</v>
      </c>
      <c r="D37" s="17">
        <v>45577</v>
      </c>
      <c r="E37" t="s">
        <v>26</v>
      </c>
      <c r="F37">
        <v>5</v>
      </c>
      <c r="G37" t="s">
        <v>35</v>
      </c>
      <c r="H37" t="s">
        <v>30</v>
      </c>
      <c r="I37" t="s">
        <v>32</v>
      </c>
      <c r="J37" t="s">
        <v>30</v>
      </c>
      <c r="K37">
        <v>0</v>
      </c>
      <c r="L37">
        <v>0</v>
      </c>
      <c r="M37">
        <v>5</v>
      </c>
    </row>
    <row r="38" spans="1:13">
      <c r="A38">
        <v>3265</v>
      </c>
      <c r="B38" t="s">
        <v>67</v>
      </c>
      <c r="C38" t="s">
        <v>29</v>
      </c>
      <c r="D38" s="17">
        <v>45382</v>
      </c>
      <c r="E38" t="s">
        <v>30</v>
      </c>
      <c r="F38">
        <v>5</v>
      </c>
      <c r="G38" t="s">
        <v>27</v>
      </c>
      <c r="H38" t="s">
        <v>30</v>
      </c>
      <c r="I38" t="s">
        <v>32</v>
      </c>
      <c r="J38" t="s">
        <v>30</v>
      </c>
      <c r="K38">
        <v>0</v>
      </c>
      <c r="L38">
        <v>1</v>
      </c>
      <c r="M38">
        <v>4</v>
      </c>
    </row>
    <row r="39" spans="1:13">
      <c r="A39">
        <v>3266</v>
      </c>
      <c r="B39" t="s">
        <v>68</v>
      </c>
      <c r="C39" t="s">
        <v>29</v>
      </c>
      <c r="D39" s="17">
        <v>45383</v>
      </c>
      <c r="E39" t="s">
        <v>26</v>
      </c>
      <c r="F39">
        <v>5</v>
      </c>
      <c r="G39" t="s">
        <v>27</v>
      </c>
      <c r="H39" t="s">
        <v>30</v>
      </c>
      <c r="I39" t="s">
        <v>32</v>
      </c>
      <c r="J39" t="s">
        <v>30</v>
      </c>
      <c r="K39">
        <v>0</v>
      </c>
      <c r="L39">
        <v>0</v>
      </c>
      <c r="M39">
        <v>5</v>
      </c>
    </row>
    <row r="40" spans="1:13">
      <c r="A40">
        <v>3457</v>
      </c>
      <c r="B40" t="s">
        <v>250</v>
      </c>
      <c r="C40" t="s">
        <v>29</v>
      </c>
      <c r="D40" s="17">
        <v>45574</v>
      </c>
      <c r="E40" t="s">
        <v>30</v>
      </c>
      <c r="F40">
        <v>5</v>
      </c>
      <c r="G40" t="s">
        <v>27</v>
      </c>
      <c r="H40" t="s">
        <v>30</v>
      </c>
      <c r="I40" t="s">
        <v>32</v>
      </c>
      <c r="J40" t="s">
        <v>30</v>
      </c>
      <c r="K40">
        <v>0</v>
      </c>
      <c r="L40">
        <v>1</v>
      </c>
      <c r="M40">
        <v>4</v>
      </c>
    </row>
    <row r="41" spans="1:13">
      <c r="A41">
        <v>3454</v>
      </c>
      <c r="B41" t="s">
        <v>247</v>
      </c>
      <c r="C41" t="s">
        <v>29</v>
      </c>
      <c r="D41" s="17">
        <v>45571</v>
      </c>
      <c r="E41" t="s">
        <v>26</v>
      </c>
      <c r="F41">
        <v>5</v>
      </c>
      <c r="G41" t="s">
        <v>31</v>
      </c>
      <c r="H41" t="s">
        <v>30</v>
      </c>
      <c r="I41" t="s">
        <v>32</v>
      </c>
      <c r="J41" t="s">
        <v>30</v>
      </c>
      <c r="K41">
        <v>0</v>
      </c>
      <c r="L41">
        <v>0</v>
      </c>
      <c r="M41">
        <v>5</v>
      </c>
    </row>
    <row r="42" spans="1:13">
      <c r="A42">
        <v>3269</v>
      </c>
      <c r="B42" t="s">
        <v>71</v>
      </c>
      <c r="C42" t="s">
        <v>29</v>
      </c>
      <c r="D42" s="17">
        <v>45386</v>
      </c>
      <c r="E42" t="s">
        <v>30</v>
      </c>
      <c r="F42">
        <v>5</v>
      </c>
      <c r="G42" t="s">
        <v>35</v>
      </c>
      <c r="H42" t="s">
        <v>30</v>
      </c>
      <c r="I42" t="s">
        <v>32</v>
      </c>
      <c r="J42" t="s">
        <v>30</v>
      </c>
      <c r="K42">
        <v>0</v>
      </c>
      <c r="L42">
        <v>1</v>
      </c>
      <c r="M42">
        <v>4</v>
      </c>
    </row>
    <row r="43" spans="1:13">
      <c r="A43">
        <v>3451</v>
      </c>
      <c r="B43" t="s">
        <v>246</v>
      </c>
      <c r="C43" t="s">
        <v>29</v>
      </c>
      <c r="D43" s="17">
        <v>45568</v>
      </c>
      <c r="E43" t="s">
        <v>30</v>
      </c>
      <c r="F43">
        <v>5</v>
      </c>
      <c r="G43" t="s">
        <v>27</v>
      </c>
      <c r="H43" t="s">
        <v>30</v>
      </c>
      <c r="I43" t="s">
        <v>32</v>
      </c>
      <c r="J43" t="s">
        <v>30</v>
      </c>
      <c r="K43">
        <v>0</v>
      </c>
      <c r="L43">
        <v>1</v>
      </c>
      <c r="M43">
        <v>4</v>
      </c>
    </row>
    <row r="44" spans="1:13">
      <c r="A44">
        <v>3448</v>
      </c>
      <c r="B44" t="s">
        <v>243</v>
      </c>
      <c r="C44" t="s">
        <v>29</v>
      </c>
      <c r="D44" s="17">
        <v>45565</v>
      </c>
      <c r="E44" t="s">
        <v>26</v>
      </c>
      <c r="F44">
        <v>5</v>
      </c>
      <c r="G44" t="s">
        <v>35</v>
      </c>
      <c r="H44" t="s">
        <v>30</v>
      </c>
      <c r="I44" t="s">
        <v>32</v>
      </c>
      <c r="J44" t="s">
        <v>30</v>
      </c>
      <c r="K44">
        <v>0</v>
      </c>
      <c r="L44">
        <v>0</v>
      </c>
      <c r="M44">
        <v>5</v>
      </c>
    </row>
    <row r="45" spans="1:13">
      <c r="A45">
        <v>3272</v>
      </c>
      <c r="B45" t="s">
        <v>74</v>
      </c>
      <c r="C45" t="s">
        <v>29</v>
      </c>
      <c r="D45" s="17">
        <v>45389</v>
      </c>
      <c r="E45" t="s">
        <v>26</v>
      </c>
      <c r="F45">
        <v>5</v>
      </c>
      <c r="G45" t="s">
        <v>31</v>
      </c>
      <c r="H45" t="s">
        <v>30</v>
      </c>
      <c r="I45" t="s">
        <v>32</v>
      </c>
      <c r="J45" t="s">
        <v>30</v>
      </c>
      <c r="K45">
        <v>0</v>
      </c>
      <c r="L45">
        <v>0</v>
      </c>
      <c r="M45">
        <v>5</v>
      </c>
    </row>
    <row r="46" spans="1:13">
      <c r="A46">
        <v>3445</v>
      </c>
      <c r="B46" t="s">
        <v>70</v>
      </c>
      <c r="C46" t="s">
        <v>29</v>
      </c>
      <c r="D46" s="17">
        <v>45562</v>
      </c>
      <c r="E46" t="s">
        <v>30</v>
      </c>
      <c r="F46">
        <v>5</v>
      </c>
      <c r="G46" t="s">
        <v>27</v>
      </c>
      <c r="H46" t="s">
        <v>30</v>
      </c>
      <c r="I46" t="s">
        <v>32</v>
      </c>
      <c r="J46" t="s">
        <v>30</v>
      </c>
      <c r="K46">
        <v>0</v>
      </c>
      <c r="L46">
        <v>2</v>
      </c>
      <c r="M46">
        <v>3</v>
      </c>
    </row>
    <row r="47" spans="1:13">
      <c r="A47">
        <v>3442</v>
      </c>
      <c r="B47" t="s">
        <v>238</v>
      </c>
      <c r="C47" t="s">
        <v>29</v>
      </c>
      <c r="D47" s="17">
        <v>45559</v>
      </c>
      <c r="E47" t="s">
        <v>26</v>
      </c>
      <c r="F47">
        <v>5</v>
      </c>
      <c r="G47" t="s">
        <v>31</v>
      </c>
      <c r="H47" t="s">
        <v>30</v>
      </c>
      <c r="I47" t="s">
        <v>32</v>
      </c>
      <c r="J47" t="s">
        <v>30</v>
      </c>
      <c r="K47">
        <v>0</v>
      </c>
      <c r="L47">
        <v>0</v>
      </c>
      <c r="M47">
        <v>5</v>
      </c>
    </row>
    <row r="48" spans="1:13">
      <c r="A48">
        <v>3275</v>
      </c>
      <c r="B48" t="s">
        <v>77</v>
      </c>
      <c r="C48" t="s">
        <v>29</v>
      </c>
      <c r="D48" s="17">
        <v>45392</v>
      </c>
      <c r="E48" t="s">
        <v>30</v>
      </c>
      <c r="F48">
        <v>5</v>
      </c>
      <c r="G48" t="s">
        <v>27</v>
      </c>
      <c r="H48" t="s">
        <v>30</v>
      </c>
      <c r="I48" t="s">
        <v>32</v>
      </c>
      <c r="J48" t="s">
        <v>30</v>
      </c>
      <c r="K48">
        <v>0</v>
      </c>
      <c r="L48">
        <v>2</v>
      </c>
      <c r="M48">
        <v>3</v>
      </c>
    </row>
    <row r="49" spans="1:13">
      <c r="A49">
        <v>3439</v>
      </c>
      <c r="B49" t="s">
        <v>235</v>
      </c>
      <c r="C49" t="s">
        <v>29</v>
      </c>
      <c r="D49" s="17">
        <v>45556</v>
      </c>
      <c r="E49" t="s">
        <v>30</v>
      </c>
      <c r="F49">
        <v>5</v>
      </c>
      <c r="G49" t="s">
        <v>35</v>
      </c>
      <c r="H49" t="s">
        <v>30</v>
      </c>
      <c r="I49" t="s">
        <v>32</v>
      </c>
      <c r="J49" t="s">
        <v>30</v>
      </c>
      <c r="K49">
        <v>0</v>
      </c>
      <c r="L49">
        <v>1</v>
      </c>
      <c r="M49">
        <v>4</v>
      </c>
    </row>
    <row r="50" spans="1:13">
      <c r="A50">
        <v>3436</v>
      </c>
      <c r="B50" t="s">
        <v>232</v>
      </c>
      <c r="C50" t="s">
        <v>29</v>
      </c>
      <c r="D50" s="17">
        <v>45553</v>
      </c>
      <c r="E50" t="s">
        <v>26</v>
      </c>
      <c r="F50">
        <v>5</v>
      </c>
      <c r="G50" t="s">
        <v>27</v>
      </c>
      <c r="H50" t="s">
        <v>30</v>
      </c>
      <c r="I50" t="s">
        <v>32</v>
      </c>
      <c r="J50" t="s">
        <v>30</v>
      </c>
      <c r="K50">
        <v>0</v>
      </c>
      <c r="L50">
        <v>0</v>
      </c>
      <c r="M50">
        <v>5</v>
      </c>
    </row>
    <row r="51" spans="1:13">
      <c r="A51">
        <v>3278</v>
      </c>
      <c r="B51" t="s">
        <v>80</v>
      </c>
      <c r="C51" t="s">
        <v>29</v>
      </c>
      <c r="D51" s="17">
        <v>45395</v>
      </c>
      <c r="E51" t="s">
        <v>26</v>
      </c>
      <c r="F51">
        <v>5</v>
      </c>
      <c r="G51" t="s">
        <v>35</v>
      </c>
      <c r="H51" t="s">
        <v>30</v>
      </c>
      <c r="I51" t="s">
        <v>32</v>
      </c>
      <c r="J51" t="s">
        <v>30</v>
      </c>
      <c r="K51">
        <v>0</v>
      </c>
      <c r="L51">
        <v>0</v>
      </c>
      <c r="M51">
        <v>5</v>
      </c>
    </row>
    <row r="52" spans="1:13">
      <c r="A52">
        <v>3433</v>
      </c>
      <c r="B52" t="s">
        <v>229</v>
      </c>
      <c r="C52" t="s">
        <v>29</v>
      </c>
      <c r="D52" s="17">
        <v>45550</v>
      </c>
      <c r="E52" t="s">
        <v>30</v>
      </c>
      <c r="F52">
        <v>5</v>
      </c>
      <c r="G52" t="s">
        <v>27</v>
      </c>
      <c r="H52" t="s">
        <v>30</v>
      </c>
      <c r="I52" t="s">
        <v>32</v>
      </c>
      <c r="J52" t="s">
        <v>30</v>
      </c>
      <c r="K52">
        <v>0</v>
      </c>
      <c r="L52">
        <v>1</v>
      </c>
      <c r="M52">
        <v>4</v>
      </c>
    </row>
    <row r="53" spans="1:13">
      <c r="A53">
        <v>3430</v>
      </c>
      <c r="B53" t="s">
        <v>226</v>
      </c>
      <c r="C53" t="s">
        <v>29</v>
      </c>
      <c r="D53" s="17">
        <v>45547</v>
      </c>
      <c r="E53" t="s">
        <v>26</v>
      </c>
      <c r="F53">
        <v>5</v>
      </c>
      <c r="G53" t="s">
        <v>35</v>
      </c>
      <c r="H53" t="s">
        <v>30</v>
      </c>
      <c r="I53" t="s">
        <v>32</v>
      </c>
      <c r="J53" t="s">
        <v>30</v>
      </c>
      <c r="K53">
        <v>0</v>
      </c>
      <c r="L53">
        <v>0</v>
      </c>
      <c r="M53">
        <v>5</v>
      </c>
    </row>
    <row r="54" spans="1:13">
      <c r="A54">
        <v>3281</v>
      </c>
      <c r="B54" t="s">
        <v>83</v>
      </c>
      <c r="C54" t="s">
        <v>29</v>
      </c>
      <c r="D54" s="17">
        <v>45398</v>
      </c>
      <c r="E54" t="s">
        <v>30</v>
      </c>
      <c r="F54">
        <v>5</v>
      </c>
      <c r="G54" t="s">
        <v>27</v>
      </c>
      <c r="H54" t="s">
        <v>30</v>
      </c>
      <c r="I54" t="s">
        <v>32</v>
      </c>
      <c r="J54" t="s">
        <v>30</v>
      </c>
      <c r="K54">
        <v>0</v>
      </c>
      <c r="L54">
        <v>1</v>
      </c>
      <c r="M54">
        <v>4</v>
      </c>
    </row>
    <row r="55" spans="1:13">
      <c r="A55">
        <v>3427</v>
      </c>
      <c r="B55" t="s">
        <v>223</v>
      </c>
      <c r="C55" t="s">
        <v>29</v>
      </c>
      <c r="D55" s="17">
        <v>45544</v>
      </c>
      <c r="E55" t="s">
        <v>30</v>
      </c>
      <c r="F55">
        <v>5</v>
      </c>
      <c r="G55" t="s">
        <v>27</v>
      </c>
      <c r="H55" t="s">
        <v>30</v>
      </c>
      <c r="I55" t="s">
        <v>32</v>
      </c>
      <c r="J55" t="s">
        <v>30</v>
      </c>
      <c r="K55">
        <v>0</v>
      </c>
      <c r="L55">
        <v>1</v>
      </c>
      <c r="M55">
        <v>4</v>
      </c>
    </row>
    <row r="56" spans="1:13">
      <c r="A56">
        <v>3424</v>
      </c>
      <c r="B56" t="s">
        <v>47</v>
      </c>
      <c r="C56" t="s">
        <v>29</v>
      </c>
      <c r="D56" s="17">
        <v>45541</v>
      </c>
      <c r="E56" t="s">
        <v>26</v>
      </c>
      <c r="F56">
        <v>5</v>
      </c>
      <c r="G56" t="s">
        <v>31</v>
      </c>
      <c r="H56" t="s">
        <v>30</v>
      </c>
      <c r="I56" t="s">
        <v>32</v>
      </c>
      <c r="J56" t="s">
        <v>30</v>
      </c>
      <c r="K56">
        <v>0</v>
      </c>
      <c r="L56">
        <v>0</v>
      </c>
      <c r="M56">
        <v>5</v>
      </c>
    </row>
    <row r="57" spans="1:13">
      <c r="A57">
        <v>3284</v>
      </c>
      <c r="B57" t="s">
        <v>86</v>
      </c>
      <c r="C57" t="s">
        <v>29</v>
      </c>
      <c r="D57" s="17">
        <v>45401</v>
      </c>
      <c r="E57" t="s">
        <v>26</v>
      </c>
      <c r="F57">
        <v>5</v>
      </c>
      <c r="G57" t="s">
        <v>31</v>
      </c>
      <c r="H57" t="s">
        <v>30</v>
      </c>
      <c r="I57" t="s">
        <v>32</v>
      </c>
      <c r="J57" t="s">
        <v>30</v>
      </c>
      <c r="K57">
        <v>0</v>
      </c>
      <c r="L57">
        <v>0</v>
      </c>
      <c r="M57">
        <v>5</v>
      </c>
    </row>
    <row r="58" spans="1:13">
      <c r="A58">
        <v>3421</v>
      </c>
      <c r="B58" t="s">
        <v>48</v>
      </c>
      <c r="C58" t="s">
        <v>29</v>
      </c>
      <c r="D58" s="17">
        <v>45538</v>
      </c>
      <c r="E58" t="s">
        <v>30</v>
      </c>
      <c r="F58">
        <v>5</v>
      </c>
      <c r="G58" t="s">
        <v>27</v>
      </c>
      <c r="H58" t="s">
        <v>30</v>
      </c>
      <c r="I58" t="s">
        <v>32</v>
      </c>
      <c r="J58" t="s">
        <v>30</v>
      </c>
      <c r="K58">
        <v>0</v>
      </c>
      <c r="L58">
        <v>1</v>
      </c>
      <c r="M58">
        <v>4</v>
      </c>
    </row>
    <row r="59" spans="1:13">
      <c r="A59">
        <v>3418</v>
      </c>
      <c r="B59" t="s">
        <v>217</v>
      </c>
      <c r="C59" t="s">
        <v>29</v>
      </c>
      <c r="D59" s="17">
        <v>45535</v>
      </c>
      <c r="E59" t="s">
        <v>26</v>
      </c>
      <c r="F59">
        <v>5</v>
      </c>
      <c r="G59" t="s">
        <v>35</v>
      </c>
      <c r="H59" t="s">
        <v>30</v>
      </c>
      <c r="I59" t="s">
        <v>32</v>
      </c>
      <c r="J59" t="s">
        <v>30</v>
      </c>
      <c r="K59">
        <v>0</v>
      </c>
      <c r="L59">
        <v>0</v>
      </c>
      <c r="M59">
        <v>5</v>
      </c>
    </row>
    <row r="60" spans="1:13">
      <c r="A60">
        <v>3287</v>
      </c>
      <c r="B60" t="s">
        <v>89</v>
      </c>
      <c r="C60" t="s">
        <v>29</v>
      </c>
      <c r="D60" s="17">
        <v>45404</v>
      </c>
      <c r="E60" t="s">
        <v>30</v>
      </c>
      <c r="F60">
        <v>5</v>
      </c>
      <c r="G60" t="s">
        <v>27</v>
      </c>
      <c r="H60" t="s">
        <v>30</v>
      </c>
      <c r="I60" t="s">
        <v>32</v>
      </c>
      <c r="J60" t="s">
        <v>30</v>
      </c>
      <c r="K60">
        <v>0</v>
      </c>
      <c r="L60">
        <v>1</v>
      </c>
      <c r="M60">
        <v>4</v>
      </c>
    </row>
    <row r="61" spans="1:13">
      <c r="A61">
        <v>3415</v>
      </c>
      <c r="B61" t="s">
        <v>214</v>
      </c>
      <c r="C61" t="s">
        <v>29</v>
      </c>
      <c r="D61" s="17">
        <v>45532</v>
      </c>
      <c r="E61" t="s">
        <v>30</v>
      </c>
      <c r="F61">
        <v>5</v>
      </c>
      <c r="G61" t="s">
        <v>27</v>
      </c>
      <c r="H61" t="s">
        <v>30</v>
      </c>
      <c r="I61" t="s">
        <v>32</v>
      </c>
      <c r="J61" t="s">
        <v>30</v>
      </c>
      <c r="K61">
        <v>0</v>
      </c>
      <c r="L61">
        <v>2</v>
      </c>
      <c r="M61">
        <v>3</v>
      </c>
    </row>
    <row r="62" spans="1:13">
      <c r="A62">
        <v>3412</v>
      </c>
      <c r="B62" t="s">
        <v>211</v>
      </c>
      <c r="C62" t="s">
        <v>29</v>
      </c>
      <c r="D62" s="17">
        <v>45529</v>
      </c>
      <c r="E62" t="s">
        <v>26</v>
      </c>
      <c r="F62">
        <v>5</v>
      </c>
      <c r="G62" t="s">
        <v>31</v>
      </c>
      <c r="H62" t="s">
        <v>30</v>
      </c>
      <c r="I62" t="s">
        <v>32</v>
      </c>
      <c r="J62" t="s">
        <v>30</v>
      </c>
      <c r="K62">
        <v>0</v>
      </c>
      <c r="L62">
        <v>0</v>
      </c>
      <c r="M62">
        <v>5</v>
      </c>
    </row>
    <row r="63" spans="1:13">
      <c r="A63">
        <v>3290</v>
      </c>
      <c r="B63" t="s">
        <v>92</v>
      </c>
      <c r="C63" t="s">
        <v>29</v>
      </c>
      <c r="D63" s="17">
        <v>45407</v>
      </c>
      <c r="E63" t="s">
        <v>26</v>
      </c>
      <c r="F63">
        <v>5</v>
      </c>
      <c r="G63" t="s">
        <v>35</v>
      </c>
      <c r="H63" t="s">
        <v>30</v>
      </c>
      <c r="I63" t="s">
        <v>32</v>
      </c>
      <c r="J63" t="s">
        <v>30</v>
      </c>
      <c r="K63">
        <v>0</v>
      </c>
      <c r="L63">
        <v>0</v>
      </c>
      <c r="M63">
        <v>5</v>
      </c>
    </row>
    <row r="64" spans="1:13">
      <c r="A64">
        <v>3409</v>
      </c>
      <c r="B64" t="s">
        <v>208</v>
      </c>
      <c r="C64" t="s">
        <v>29</v>
      </c>
      <c r="D64" s="17">
        <v>45526</v>
      </c>
      <c r="E64" t="s">
        <v>30</v>
      </c>
      <c r="F64">
        <v>5</v>
      </c>
      <c r="G64" t="s">
        <v>35</v>
      </c>
      <c r="H64" t="s">
        <v>30</v>
      </c>
      <c r="I64" t="s">
        <v>32</v>
      </c>
      <c r="J64" t="s">
        <v>30</v>
      </c>
      <c r="K64">
        <v>0</v>
      </c>
      <c r="L64">
        <v>1</v>
      </c>
      <c r="M64">
        <v>4</v>
      </c>
    </row>
    <row r="65" spans="1:13">
      <c r="A65">
        <v>3406</v>
      </c>
      <c r="B65" t="s">
        <v>205</v>
      </c>
      <c r="C65" t="s">
        <v>29</v>
      </c>
      <c r="D65" s="17">
        <v>45523</v>
      </c>
      <c r="E65" t="s">
        <v>26</v>
      </c>
      <c r="F65">
        <v>5</v>
      </c>
      <c r="G65" t="s">
        <v>27</v>
      </c>
      <c r="H65" t="s">
        <v>30</v>
      </c>
      <c r="I65" t="s">
        <v>32</v>
      </c>
      <c r="J65" t="s">
        <v>30</v>
      </c>
      <c r="K65">
        <v>0</v>
      </c>
      <c r="L65">
        <v>0</v>
      </c>
      <c r="M65">
        <v>5</v>
      </c>
    </row>
    <row r="66" spans="1:13">
      <c r="A66">
        <v>3293</v>
      </c>
      <c r="B66" t="s">
        <v>95</v>
      </c>
      <c r="C66" t="s">
        <v>29</v>
      </c>
      <c r="D66" s="17">
        <v>45410</v>
      </c>
      <c r="E66" t="s">
        <v>30</v>
      </c>
      <c r="F66">
        <v>5</v>
      </c>
      <c r="G66" t="s">
        <v>27</v>
      </c>
      <c r="H66" t="s">
        <v>30</v>
      </c>
      <c r="I66" t="s">
        <v>32</v>
      </c>
      <c r="J66" t="s">
        <v>30</v>
      </c>
      <c r="K66">
        <v>0</v>
      </c>
      <c r="L66">
        <v>1</v>
      </c>
      <c r="M66">
        <v>4</v>
      </c>
    </row>
    <row r="67" spans="1:13">
      <c r="A67">
        <v>3405</v>
      </c>
      <c r="B67" t="s">
        <v>204</v>
      </c>
      <c r="C67" t="s">
        <v>29</v>
      </c>
      <c r="D67" s="17">
        <v>45522</v>
      </c>
      <c r="E67" t="s">
        <v>30</v>
      </c>
      <c r="F67">
        <v>5</v>
      </c>
      <c r="G67" t="s">
        <v>27</v>
      </c>
      <c r="H67" t="s">
        <v>30</v>
      </c>
      <c r="I67" t="s">
        <v>32</v>
      </c>
      <c r="J67" t="s">
        <v>30</v>
      </c>
      <c r="K67">
        <v>0</v>
      </c>
      <c r="L67">
        <v>1</v>
      </c>
      <c r="M67">
        <v>4</v>
      </c>
    </row>
    <row r="68" spans="1:13">
      <c r="A68">
        <v>3402</v>
      </c>
      <c r="B68" t="s">
        <v>201</v>
      </c>
      <c r="C68" t="s">
        <v>29</v>
      </c>
      <c r="D68" s="17">
        <v>45519</v>
      </c>
      <c r="E68" t="s">
        <v>26</v>
      </c>
      <c r="F68">
        <v>5</v>
      </c>
      <c r="G68" t="s">
        <v>35</v>
      </c>
      <c r="H68" t="s">
        <v>30</v>
      </c>
      <c r="I68" t="s">
        <v>32</v>
      </c>
      <c r="J68" t="s">
        <v>30</v>
      </c>
      <c r="K68">
        <v>0</v>
      </c>
      <c r="L68">
        <v>0</v>
      </c>
      <c r="M68">
        <v>5</v>
      </c>
    </row>
    <row r="69" spans="1:13">
      <c r="A69">
        <v>3296</v>
      </c>
      <c r="B69" t="s">
        <v>98</v>
      </c>
      <c r="C69" t="s">
        <v>29</v>
      </c>
      <c r="D69" s="17">
        <v>45413</v>
      </c>
      <c r="E69" t="s">
        <v>30</v>
      </c>
      <c r="F69">
        <v>5</v>
      </c>
      <c r="G69" t="s">
        <v>27</v>
      </c>
      <c r="H69" t="s">
        <v>30</v>
      </c>
      <c r="I69" t="s">
        <v>32</v>
      </c>
      <c r="J69" t="s">
        <v>30</v>
      </c>
      <c r="K69">
        <v>0</v>
      </c>
      <c r="L69">
        <v>0</v>
      </c>
      <c r="M69">
        <v>5</v>
      </c>
    </row>
    <row r="70" spans="1:13">
      <c r="A70">
        <v>3399</v>
      </c>
      <c r="B70" t="s">
        <v>198</v>
      </c>
      <c r="C70" t="s">
        <v>29</v>
      </c>
      <c r="D70" s="17">
        <v>45516</v>
      </c>
      <c r="E70" t="s">
        <v>30</v>
      </c>
      <c r="F70">
        <v>5</v>
      </c>
      <c r="G70" t="s">
        <v>27</v>
      </c>
      <c r="H70" t="s">
        <v>30</v>
      </c>
      <c r="I70" t="s">
        <v>32</v>
      </c>
      <c r="J70" t="s">
        <v>30</v>
      </c>
      <c r="K70">
        <v>0</v>
      </c>
      <c r="L70">
        <v>1</v>
      </c>
      <c r="M70">
        <v>4</v>
      </c>
    </row>
    <row r="71" spans="1:13">
      <c r="A71">
        <v>3396</v>
      </c>
      <c r="B71" t="s">
        <v>196</v>
      </c>
      <c r="C71" t="s">
        <v>29</v>
      </c>
      <c r="D71" s="17">
        <v>45513</v>
      </c>
      <c r="E71" t="s">
        <v>26</v>
      </c>
      <c r="F71">
        <v>5</v>
      </c>
      <c r="G71" t="s">
        <v>31</v>
      </c>
      <c r="H71" t="s">
        <v>30</v>
      </c>
      <c r="I71" t="s">
        <v>32</v>
      </c>
      <c r="J71" t="s">
        <v>30</v>
      </c>
      <c r="K71">
        <v>0</v>
      </c>
      <c r="L71">
        <v>0</v>
      </c>
      <c r="M71">
        <v>5</v>
      </c>
    </row>
    <row r="72" spans="1:13">
      <c r="A72">
        <v>3299</v>
      </c>
      <c r="B72" t="s">
        <v>101</v>
      </c>
      <c r="C72" t="s">
        <v>29</v>
      </c>
      <c r="D72" s="17">
        <v>45416</v>
      </c>
      <c r="E72" t="s">
        <v>26</v>
      </c>
      <c r="F72">
        <v>5</v>
      </c>
      <c r="G72" t="s">
        <v>35</v>
      </c>
      <c r="H72" t="s">
        <v>30</v>
      </c>
      <c r="I72" t="s">
        <v>32</v>
      </c>
      <c r="J72" t="s">
        <v>30</v>
      </c>
      <c r="K72">
        <v>0</v>
      </c>
      <c r="L72">
        <v>1</v>
      </c>
      <c r="M72">
        <v>4</v>
      </c>
    </row>
    <row r="73" spans="1:13">
      <c r="A73">
        <v>3393</v>
      </c>
      <c r="B73" t="s">
        <v>193</v>
      </c>
      <c r="C73" t="s">
        <v>29</v>
      </c>
      <c r="D73" s="17">
        <v>45510</v>
      </c>
      <c r="E73" t="s">
        <v>30</v>
      </c>
      <c r="F73">
        <v>5</v>
      </c>
      <c r="G73" t="s">
        <v>27</v>
      </c>
      <c r="H73" t="s">
        <v>30</v>
      </c>
      <c r="I73" t="s">
        <v>32</v>
      </c>
      <c r="J73" t="s">
        <v>30</v>
      </c>
      <c r="K73">
        <v>0</v>
      </c>
      <c r="L73">
        <v>1</v>
      </c>
      <c r="M73">
        <v>4</v>
      </c>
    </row>
    <row r="74" spans="1:13">
      <c r="A74">
        <v>3390</v>
      </c>
      <c r="B74" t="s">
        <v>191</v>
      </c>
      <c r="C74" t="s">
        <v>29</v>
      </c>
      <c r="D74" s="17">
        <v>45507</v>
      </c>
      <c r="E74" t="s">
        <v>26</v>
      </c>
      <c r="F74">
        <v>5</v>
      </c>
      <c r="G74" t="s">
        <v>35</v>
      </c>
      <c r="H74" t="s">
        <v>30</v>
      </c>
      <c r="I74" t="s">
        <v>32</v>
      </c>
      <c r="J74" t="s">
        <v>30</v>
      </c>
      <c r="K74">
        <v>0</v>
      </c>
      <c r="L74">
        <v>0</v>
      </c>
      <c r="M74">
        <v>5</v>
      </c>
    </row>
    <row r="75" spans="1:13">
      <c r="A75">
        <v>3302</v>
      </c>
      <c r="B75" t="s">
        <v>104</v>
      </c>
      <c r="C75" t="s">
        <v>29</v>
      </c>
      <c r="D75" s="17">
        <v>45419</v>
      </c>
      <c r="E75" t="s">
        <v>30</v>
      </c>
      <c r="F75">
        <v>5</v>
      </c>
      <c r="G75" t="s">
        <v>31</v>
      </c>
      <c r="H75" t="s">
        <v>30</v>
      </c>
      <c r="I75" t="s">
        <v>32</v>
      </c>
      <c r="J75" t="s">
        <v>30</v>
      </c>
      <c r="K75">
        <v>0</v>
      </c>
      <c r="L75">
        <v>0</v>
      </c>
      <c r="M75">
        <v>5</v>
      </c>
    </row>
    <row r="76" spans="1:13">
      <c r="A76">
        <v>3387</v>
      </c>
      <c r="B76" t="s">
        <v>188</v>
      </c>
      <c r="C76" t="s">
        <v>29</v>
      </c>
      <c r="D76" s="17">
        <v>45504</v>
      </c>
      <c r="E76" t="s">
        <v>30</v>
      </c>
      <c r="F76">
        <v>5</v>
      </c>
      <c r="G76" t="s">
        <v>27</v>
      </c>
      <c r="H76" t="s">
        <v>30</v>
      </c>
      <c r="I76" t="s">
        <v>32</v>
      </c>
      <c r="J76" t="s">
        <v>30</v>
      </c>
      <c r="K76">
        <v>0</v>
      </c>
      <c r="L76">
        <v>1</v>
      </c>
      <c r="M76">
        <v>4</v>
      </c>
    </row>
    <row r="77" spans="1:13">
      <c r="A77">
        <v>3384</v>
      </c>
      <c r="B77" t="s">
        <v>185</v>
      </c>
      <c r="C77" t="s">
        <v>29</v>
      </c>
      <c r="D77" s="17">
        <v>45501</v>
      </c>
      <c r="E77" t="s">
        <v>26</v>
      </c>
      <c r="F77">
        <v>5</v>
      </c>
      <c r="G77" t="s">
        <v>31</v>
      </c>
      <c r="H77" t="s">
        <v>30</v>
      </c>
      <c r="I77" t="s">
        <v>32</v>
      </c>
      <c r="J77" t="s">
        <v>30</v>
      </c>
      <c r="K77">
        <v>0</v>
      </c>
      <c r="L77">
        <v>0</v>
      </c>
      <c r="M77">
        <v>5</v>
      </c>
    </row>
    <row r="78" spans="1:13">
      <c r="A78">
        <v>3305</v>
      </c>
      <c r="B78" t="s">
        <v>107</v>
      </c>
      <c r="C78" t="s">
        <v>29</v>
      </c>
      <c r="D78" s="17">
        <v>45422</v>
      </c>
      <c r="E78" t="s">
        <v>26</v>
      </c>
      <c r="F78">
        <v>5</v>
      </c>
      <c r="G78" t="s">
        <v>27</v>
      </c>
      <c r="H78" t="s">
        <v>30</v>
      </c>
      <c r="I78" t="s">
        <v>32</v>
      </c>
      <c r="J78" t="s">
        <v>30</v>
      </c>
      <c r="K78">
        <v>0</v>
      </c>
      <c r="L78">
        <v>2</v>
      </c>
      <c r="M78">
        <v>3</v>
      </c>
    </row>
    <row r="79" spans="1:13">
      <c r="A79">
        <v>3381</v>
      </c>
      <c r="B79" t="s">
        <v>182</v>
      </c>
      <c r="C79" t="s">
        <v>29</v>
      </c>
      <c r="D79" s="17">
        <v>45498</v>
      </c>
      <c r="E79" t="s">
        <v>30</v>
      </c>
      <c r="F79">
        <v>5</v>
      </c>
      <c r="G79" t="s">
        <v>27</v>
      </c>
      <c r="H79" t="s">
        <v>30</v>
      </c>
      <c r="I79" t="s">
        <v>32</v>
      </c>
      <c r="J79" t="s">
        <v>30</v>
      </c>
      <c r="K79">
        <v>0</v>
      </c>
      <c r="L79">
        <v>1</v>
      </c>
      <c r="M79">
        <v>4</v>
      </c>
    </row>
    <row r="80" spans="1:13">
      <c r="A80">
        <v>3378</v>
      </c>
      <c r="B80" t="s">
        <v>179</v>
      </c>
      <c r="C80" t="s">
        <v>29</v>
      </c>
      <c r="D80" s="17">
        <v>45495</v>
      </c>
      <c r="E80" t="s">
        <v>26</v>
      </c>
      <c r="F80">
        <v>5</v>
      </c>
      <c r="G80" t="s">
        <v>35</v>
      </c>
      <c r="H80" t="s">
        <v>30</v>
      </c>
      <c r="I80" t="s">
        <v>32</v>
      </c>
      <c r="J80" t="s">
        <v>30</v>
      </c>
      <c r="K80">
        <v>0</v>
      </c>
      <c r="L80">
        <v>0</v>
      </c>
      <c r="M80">
        <v>5</v>
      </c>
    </row>
    <row r="81" spans="1:13">
      <c r="A81">
        <v>3308</v>
      </c>
      <c r="B81" t="s">
        <v>110</v>
      </c>
      <c r="C81" t="s">
        <v>29</v>
      </c>
      <c r="D81" s="17">
        <v>45425</v>
      </c>
      <c r="E81" t="s">
        <v>30</v>
      </c>
      <c r="F81">
        <v>5</v>
      </c>
      <c r="G81" t="s">
        <v>35</v>
      </c>
      <c r="H81" t="s">
        <v>30</v>
      </c>
      <c r="I81" t="s">
        <v>32</v>
      </c>
      <c r="J81" t="s">
        <v>30</v>
      </c>
      <c r="K81">
        <v>0</v>
      </c>
      <c r="L81">
        <v>0</v>
      </c>
      <c r="M81">
        <v>5</v>
      </c>
    </row>
    <row r="82" spans="1:13">
      <c r="A82">
        <v>3375</v>
      </c>
      <c r="B82" t="s">
        <v>176</v>
      </c>
      <c r="C82" t="s">
        <v>29</v>
      </c>
      <c r="D82" s="17">
        <v>45492</v>
      </c>
      <c r="E82" t="s">
        <v>30</v>
      </c>
      <c r="F82">
        <v>5</v>
      </c>
      <c r="G82" t="s">
        <v>27</v>
      </c>
      <c r="H82" t="s">
        <v>30</v>
      </c>
      <c r="I82" t="s">
        <v>32</v>
      </c>
      <c r="J82" t="s">
        <v>30</v>
      </c>
      <c r="K82">
        <v>0</v>
      </c>
      <c r="L82">
        <v>2</v>
      </c>
      <c r="M82">
        <v>3</v>
      </c>
    </row>
    <row r="83" spans="1:13">
      <c r="A83">
        <v>3372</v>
      </c>
      <c r="B83" t="s">
        <v>173</v>
      </c>
      <c r="C83" t="s">
        <v>29</v>
      </c>
      <c r="D83" s="17">
        <v>45489</v>
      </c>
      <c r="E83" t="s">
        <v>26</v>
      </c>
      <c r="F83">
        <v>5</v>
      </c>
      <c r="G83" t="s">
        <v>31</v>
      </c>
      <c r="H83" t="s">
        <v>30</v>
      </c>
      <c r="I83" t="s">
        <v>32</v>
      </c>
      <c r="J83" t="s">
        <v>30</v>
      </c>
      <c r="K83">
        <v>0</v>
      </c>
      <c r="L83">
        <v>0</v>
      </c>
      <c r="M83">
        <v>5</v>
      </c>
    </row>
    <row r="84" spans="1:13">
      <c r="A84">
        <v>3311</v>
      </c>
      <c r="B84" t="s">
        <v>113</v>
      </c>
      <c r="C84" t="s">
        <v>29</v>
      </c>
      <c r="D84" s="17">
        <v>45428</v>
      </c>
      <c r="E84" t="s">
        <v>26</v>
      </c>
      <c r="F84">
        <v>5</v>
      </c>
      <c r="G84" t="s">
        <v>27</v>
      </c>
      <c r="H84" t="s">
        <v>30</v>
      </c>
      <c r="I84" t="s">
        <v>32</v>
      </c>
      <c r="J84" t="s">
        <v>30</v>
      </c>
      <c r="K84">
        <v>0</v>
      </c>
      <c r="L84">
        <v>1</v>
      </c>
      <c r="M84">
        <v>4</v>
      </c>
    </row>
    <row r="85" spans="1:13">
      <c r="A85">
        <v>3369</v>
      </c>
      <c r="B85" t="s">
        <v>170</v>
      </c>
      <c r="C85" t="s">
        <v>29</v>
      </c>
      <c r="D85" s="17">
        <v>45486</v>
      </c>
      <c r="E85" t="s">
        <v>30</v>
      </c>
      <c r="F85">
        <v>5</v>
      </c>
      <c r="G85" t="s">
        <v>35</v>
      </c>
      <c r="H85" t="s">
        <v>30</v>
      </c>
      <c r="I85" t="s">
        <v>32</v>
      </c>
      <c r="J85" t="s">
        <v>30</v>
      </c>
      <c r="K85">
        <v>0</v>
      </c>
      <c r="L85">
        <v>1</v>
      </c>
      <c r="M85">
        <v>4</v>
      </c>
    </row>
    <row r="86" spans="1:13">
      <c r="A86">
        <v>3366</v>
      </c>
      <c r="B86" t="s">
        <v>167</v>
      </c>
      <c r="C86" t="s">
        <v>29</v>
      </c>
      <c r="D86" s="17">
        <v>45483</v>
      </c>
      <c r="E86" t="s">
        <v>26</v>
      </c>
      <c r="F86">
        <v>5</v>
      </c>
      <c r="G86" t="s">
        <v>27</v>
      </c>
      <c r="H86" t="s">
        <v>30</v>
      </c>
      <c r="I86" t="s">
        <v>32</v>
      </c>
      <c r="J86" t="s">
        <v>30</v>
      </c>
      <c r="K86">
        <v>0</v>
      </c>
      <c r="L86">
        <v>0</v>
      </c>
      <c r="M86">
        <v>5</v>
      </c>
    </row>
    <row r="87" spans="1:13">
      <c r="A87">
        <v>3314</v>
      </c>
      <c r="B87" t="s">
        <v>116</v>
      </c>
      <c r="C87" t="s">
        <v>29</v>
      </c>
      <c r="D87" s="17">
        <v>45431</v>
      </c>
      <c r="E87" t="s">
        <v>30</v>
      </c>
      <c r="F87">
        <v>5</v>
      </c>
      <c r="G87" t="s">
        <v>31</v>
      </c>
      <c r="H87" t="s">
        <v>30</v>
      </c>
      <c r="I87" t="s">
        <v>32</v>
      </c>
      <c r="J87" t="s">
        <v>30</v>
      </c>
      <c r="K87">
        <v>0</v>
      </c>
      <c r="L87">
        <v>0</v>
      </c>
      <c r="M87">
        <v>5</v>
      </c>
    </row>
    <row r="88" spans="1:13">
      <c r="A88">
        <v>3363</v>
      </c>
      <c r="B88" t="s">
        <v>164</v>
      </c>
      <c r="C88" t="s">
        <v>29</v>
      </c>
      <c r="D88" s="17">
        <v>45480</v>
      </c>
      <c r="E88" t="s">
        <v>30</v>
      </c>
      <c r="F88">
        <v>5</v>
      </c>
      <c r="G88" t="s">
        <v>27</v>
      </c>
      <c r="H88" t="s">
        <v>30</v>
      </c>
      <c r="I88" t="s">
        <v>32</v>
      </c>
      <c r="J88" t="s">
        <v>30</v>
      </c>
      <c r="K88">
        <v>0</v>
      </c>
      <c r="L88">
        <v>1</v>
      </c>
      <c r="M88">
        <v>4</v>
      </c>
    </row>
    <row r="89" spans="1:13">
      <c r="A89">
        <v>3360</v>
      </c>
      <c r="B89" t="s">
        <v>161</v>
      </c>
      <c r="C89" t="s">
        <v>29</v>
      </c>
      <c r="D89" s="17">
        <v>45477</v>
      </c>
      <c r="E89" t="s">
        <v>26</v>
      </c>
      <c r="F89">
        <v>5</v>
      </c>
      <c r="G89" t="s">
        <v>35</v>
      </c>
      <c r="H89" t="s">
        <v>30</v>
      </c>
      <c r="I89" t="s">
        <v>32</v>
      </c>
      <c r="J89" t="s">
        <v>30</v>
      </c>
      <c r="K89">
        <v>0</v>
      </c>
      <c r="L89">
        <v>0</v>
      </c>
      <c r="M89">
        <v>5</v>
      </c>
    </row>
    <row r="90" spans="1:13">
      <c r="A90">
        <v>3317</v>
      </c>
      <c r="B90" t="s">
        <v>119</v>
      </c>
      <c r="C90" t="s">
        <v>29</v>
      </c>
      <c r="D90" s="17">
        <v>45434</v>
      </c>
      <c r="E90" t="s">
        <v>26</v>
      </c>
      <c r="F90">
        <v>5</v>
      </c>
      <c r="G90" t="s">
        <v>27</v>
      </c>
      <c r="H90" t="s">
        <v>30</v>
      </c>
      <c r="I90" t="s">
        <v>32</v>
      </c>
      <c r="J90" t="s">
        <v>30</v>
      </c>
      <c r="K90">
        <v>0</v>
      </c>
      <c r="L90">
        <v>1</v>
      </c>
      <c r="M90">
        <v>4</v>
      </c>
    </row>
    <row r="91" spans="1:13">
      <c r="A91">
        <v>3357</v>
      </c>
      <c r="B91" t="s">
        <v>158</v>
      </c>
      <c r="C91" t="s">
        <v>29</v>
      </c>
      <c r="D91" s="17">
        <v>45474</v>
      </c>
      <c r="E91" t="s">
        <v>30</v>
      </c>
      <c r="F91">
        <v>5</v>
      </c>
      <c r="G91" t="s">
        <v>27</v>
      </c>
      <c r="H91" t="s">
        <v>30</v>
      </c>
      <c r="I91" t="s">
        <v>32</v>
      </c>
      <c r="J91" t="s">
        <v>30</v>
      </c>
      <c r="K91">
        <v>0</v>
      </c>
      <c r="L91">
        <v>1</v>
      </c>
      <c r="M91">
        <v>4</v>
      </c>
    </row>
    <row r="92" spans="1:13">
      <c r="A92">
        <v>3354</v>
      </c>
      <c r="B92" t="s">
        <v>155</v>
      </c>
      <c r="C92" t="s">
        <v>29</v>
      </c>
      <c r="D92" s="17">
        <v>45471</v>
      </c>
      <c r="E92" t="s">
        <v>26</v>
      </c>
      <c r="F92">
        <v>5</v>
      </c>
      <c r="G92" t="s">
        <v>31</v>
      </c>
      <c r="H92" t="s">
        <v>30</v>
      </c>
      <c r="I92" t="s">
        <v>32</v>
      </c>
      <c r="J92" t="s">
        <v>30</v>
      </c>
      <c r="K92">
        <v>0</v>
      </c>
      <c r="L92">
        <v>0</v>
      </c>
      <c r="M92">
        <v>5</v>
      </c>
    </row>
    <row r="93" spans="1:13">
      <c r="A93">
        <v>3320</v>
      </c>
      <c r="B93" t="s">
        <v>122</v>
      </c>
      <c r="C93" t="s">
        <v>29</v>
      </c>
      <c r="D93" s="17">
        <v>45437</v>
      </c>
      <c r="E93" t="s">
        <v>30</v>
      </c>
      <c r="F93">
        <v>5</v>
      </c>
      <c r="G93" t="s">
        <v>35</v>
      </c>
      <c r="H93" t="s">
        <v>30</v>
      </c>
      <c r="I93" t="s">
        <v>32</v>
      </c>
      <c r="J93" t="s">
        <v>30</v>
      </c>
      <c r="K93">
        <v>0</v>
      </c>
      <c r="L93">
        <v>0</v>
      </c>
      <c r="M93">
        <v>5</v>
      </c>
    </row>
    <row r="94" spans="1:13">
      <c r="A94">
        <v>3351</v>
      </c>
      <c r="B94" t="s">
        <v>152</v>
      </c>
      <c r="C94" t="s">
        <v>29</v>
      </c>
      <c r="D94" s="17">
        <v>45468</v>
      </c>
      <c r="E94" t="s">
        <v>30</v>
      </c>
      <c r="F94">
        <v>5</v>
      </c>
      <c r="G94" t="s">
        <v>27</v>
      </c>
      <c r="H94" t="s">
        <v>30</v>
      </c>
      <c r="I94" t="s">
        <v>32</v>
      </c>
      <c r="J94" t="s">
        <v>30</v>
      </c>
      <c r="K94">
        <v>0</v>
      </c>
      <c r="L94">
        <v>1</v>
      </c>
      <c r="M94">
        <v>4</v>
      </c>
    </row>
    <row r="95" spans="1:13">
      <c r="A95">
        <v>3348</v>
      </c>
      <c r="B95" t="s">
        <v>150</v>
      </c>
      <c r="C95" t="s">
        <v>29</v>
      </c>
      <c r="D95" s="17">
        <v>45465</v>
      </c>
      <c r="E95" t="s">
        <v>26</v>
      </c>
      <c r="F95">
        <v>5</v>
      </c>
      <c r="G95" t="s">
        <v>35</v>
      </c>
      <c r="H95" t="s">
        <v>30</v>
      </c>
      <c r="I95" t="s">
        <v>32</v>
      </c>
      <c r="J95" t="s">
        <v>30</v>
      </c>
      <c r="K95">
        <v>0</v>
      </c>
      <c r="L95">
        <v>0</v>
      </c>
      <c r="M95">
        <v>5</v>
      </c>
    </row>
    <row r="96" spans="1:13">
      <c r="A96">
        <v>3323</v>
      </c>
      <c r="B96" t="s">
        <v>125</v>
      </c>
      <c r="C96" t="s">
        <v>29</v>
      </c>
      <c r="D96" s="17">
        <v>45440</v>
      </c>
      <c r="E96" t="s">
        <v>26</v>
      </c>
      <c r="F96">
        <v>5</v>
      </c>
      <c r="G96" t="s">
        <v>27</v>
      </c>
      <c r="H96" t="s">
        <v>30</v>
      </c>
      <c r="I96" t="s">
        <v>32</v>
      </c>
      <c r="J96" t="s">
        <v>30</v>
      </c>
      <c r="K96">
        <v>0</v>
      </c>
      <c r="L96">
        <v>1</v>
      </c>
      <c r="M96">
        <v>4</v>
      </c>
    </row>
    <row r="97" spans="1:13">
      <c r="A97">
        <v>3345</v>
      </c>
      <c r="B97" t="s">
        <v>147</v>
      </c>
      <c r="C97" t="s">
        <v>29</v>
      </c>
      <c r="D97" s="17">
        <v>45462</v>
      </c>
      <c r="E97" t="s">
        <v>30</v>
      </c>
      <c r="F97">
        <v>5</v>
      </c>
      <c r="G97" t="s">
        <v>27</v>
      </c>
      <c r="H97" t="s">
        <v>30</v>
      </c>
      <c r="I97" t="s">
        <v>32</v>
      </c>
      <c r="J97" t="s">
        <v>30</v>
      </c>
      <c r="K97">
        <v>0</v>
      </c>
      <c r="L97">
        <v>2</v>
      </c>
      <c r="M97">
        <v>3</v>
      </c>
    </row>
    <row r="98" spans="1:13">
      <c r="A98">
        <v>3342</v>
      </c>
      <c r="B98" t="s">
        <v>144</v>
      </c>
      <c r="C98" t="s">
        <v>29</v>
      </c>
      <c r="D98" s="17">
        <v>45459</v>
      </c>
      <c r="E98" t="s">
        <v>26</v>
      </c>
      <c r="F98">
        <v>5</v>
      </c>
      <c r="G98" t="s">
        <v>31</v>
      </c>
      <c r="H98" t="s">
        <v>30</v>
      </c>
      <c r="I98" t="s">
        <v>32</v>
      </c>
      <c r="J98" t="s">
        <v>30</v>
      </c>
      <c r="K98">
        <v>0</v>
      </c>
      <c r="L98">
        <v>0</v>
      </c>
      <c r="M98">
        <v>5</v>
      </c>
    </row>
    <row r="99" spans="1:13">
      <c r="A99">
        <v>3326</v>
      </c>
      <c r="B99" t="s">
        <v>128</v>
      </c>
      <c r="C99" t="s">
        <v>29</v>
      </c>
      <c r="D99" s="17">
        <v>45443</v>
      </c>
      <c r="E99" t="s">
        <v>30</v>
      </c>
      <c r="F99">
        <v>5</v>
      </c>
      <c r="G99" t="s">
        <v>31</v>
      </c>
      <c r="H99" t="s">
        <v>30</v>
      </c>
      <c r="I99" t="s">
        <v>32</v>
      </c>
      <c r="J99" t="s">
        <v>30</v>
      </c>
      <c r="K99">
        <v>0</v>
      </c>
      <c r="L99">
        <v>0</v>
      </c>
      <c r="M99">
        <v>5</v>
      </c>
    </row>
    <row r="100" spans="1:13">
      <c r="A100">
        <v>3339</v>
      </c>
      <c r="B100" t="s">
        <v>141</v>
      </c>
      <c r="C100" t="s">
        <v>29</v>
      </c>
      <c r="D100" s="17">
        <v>45456</v>
      </c>
      <c r="E100" t="s">
        <v>30</v>
      </c>
      <c r="F100">
        <v>5</v>
      </c>
      <c r="G100" t="s">
        <v>35</v>
      </c>
      <c r="H100" t="s">
        <v>30</v>
      </c>
      <c r="I100" t="s">
        <v>32</v>
      </c>
      <c r="J100" t="s">
        <v>30</v>
      </c>
      <c r="K100">
        <v>0</v>
      </c>
      <c r="L100">
        <v>1</v>
      </c>
      <c r="M100">
        <v>4</v>
      </c>
    </row>
    <row r="101" spans="1:13">
      <c r="A101">
        <v>3336</v>
      </c>
      <c r="B101" t="s">
        <v>138</v>
      </c>
      <c r="C101" t="s">
        <v>29</v>
      </c>
      <c r="D101" s="17">
        <v>45453</v>
      </c>
      <c r="E101" t="s">
        <v>26</v>
      </c>
      <c r="F101">
        <v>5</v>
      </c>
      <c r="G101" t="s">
        <v>27</v>
      </c>
      <c r="H101" t="s">
        <v>30</v>
      </c>
      <c r="I101" t="s">
        <v>32</v>
      </c>
      <c r="J101" t="s">
        <v>30</v>
      </c>
      <c r="K101">
        <v>0</v>
      </c>
      <c r="L101">
        <v>0</v>
      </c>
      <c r="M101">
        <v>5</v>
      </c>
    </row>
    <row r="102" spans="1:13">
      <c r="A102">
        <v>3329</v>
      </c>
      <c r="B102" t="s">
        <v>131</v>
      </c>
      <c r="C102" t="s">
        <v>29</v>
      </c>
      <c r="D102" s="17">
        <v>45446</v>
      </c>
      <c r="E102" t="s">
        <v>26</v>
      </c>
      <c r="F102">
        <v>5</v>
      </c>
      <c r="G102" t="s">
        <v>35</v>
      </c>
      <c r="H102" t="s">
        <v>30</v>
      </c>
      <c r="I102" t="s">
        <v>32</v>
      </c>
      <c r="J102" t="s">
        <v>30</v>
      </c>
      <c r="K102">
        <v>0</v>
      </c>
      <c r="L102">
        <v>1</v>
      </c>
      <c r="M102">
        <v>4</v>
      </c>
    </row>
    <row r="103" spans="1:13">
      <c r="A103">
        <v>3335</v>
      </c>
      <c r="B103" t="s">
        <v>137</v>
      </c>
      <c r="C103" t="s">
        <v>29</v>
      </c>
      <c r="D103" s="17">
        <v>45452</v>
      </c>
      <c r="E103" t="s">
        <v>26</v>
      </c>
      <c r="F103">
        <v>5</v>
      </c>
      <c r="G103" t="s">
        <v>27</v>
      </c>
      <c r="H103" t="s">
        <v>30</v>
      </c>
      <c r="I103" t="s">
        <v>32</v>
      </c>
      <c r="J103" t="s">
        <v>30</v>
      </c>
      <c r="K103">
        <v>0</v>
      </c>
      <c r="L103">
        <v>2</v>
      </c>
      <c r="M103">
        <v>3</v>
      </c>
    </row>
    <row r="104" spans="1:13">
      <c r="A104">
        <v>3332</v>
      </c>
      <c r="B104" t="s">
        <v>134</v>
      </c>
      <c r="C104" t="s">
        <v>29</v>
      </c>
      <c r="D104" s="17">
        <v>45449</v>
      </c>
      <c r="E104" t="s">
        <v>30</v>
      </c>
      <c r="F104">
        <v>5</v>
      </c>
      <c r="G104" t="s">
        <v>31</v>
      </c>
      <c r="H104" t="s">
        <v>30</v>
      </c>
      <c r="I104" t="s">
        <v>32</v>
      </c>
      <c r="J104" t="s">
        <v>30</v>
      </c>
      <c r="K104">
        <v>0</v>
      </c>
      <c r="L104">
        <v>0</v>
      </c>
      <c r="M104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A3:F60"/>
  <sheetViews>
    <sheetView showGridLines="0" topLeftCell="A4" workbookViewId="0">
      <selection activeCell="E25" sqref="E25"/>
    </sheetView>
  </sheetViews>
  <sheetFormatPr defaultRowHeight="15"/>
  <cols>
    <col min="2" max="2" width="18.5703125" bestFit="1" customWidth="1"/>
    <col min="3" max="3" width="33.85546875" bestFit="1" customWidth="1"/>
    <col min="4" max="4" width="30.5703125" bestFit="1" customWidth="1"/>
    <col min="5" max="5" width="29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38" t="s">
        <v>313</v>
      </c>
      <c r="C3" s="38"/>
      <c r="D3" s="38"/>
      <c r="E3" s="38"/>
      <c r="F3" s="38"/>
    </row>
    <row r="6" spans="2:6">
      <c r="B6" s="24" t="s">
        <v>314</v>
      </c>
    </row>
    <row r="7" spans="2:6">
      <c r="B7" t="s">
        <v>315</v>
      </c>
    </row>
    <row r="9" spans="2:6">
      <c r="B9" s="12" t="s">
        <v>17</v>
      </c>
      <c r="C9" t="s">
        <v>316</v>
      </c>
    </row>
    <row r="11" spans="2:6">
      <c r="B11" s="12" t="s">
        <v>317</v>
      </c>
      <c r="C11" t="s">
        <v>318</v>
      </c>
    </row>
    <row r="12" spans="2:6">
      <c r="B12" s="14" t="s">
        <v>30</v>
      </c>
      <c r="C12" s="13">
        <v>3847</v>
      </c>
      <c r="E12" s="13">
        <f>C14</f>
        <v>7633</v>
      </c>
    </row>
    <row r="13" spans="2:6">
      <c r="B13" s="14" t="s">
        <v>26</v>
      </c>
      <c r="C13" s="13">
        <v>3786</v>
      </c>
    </row>
    <row r="14" spans="2:6">
      <c r="B14" s="14" t="s">
        <v>319</v>
      </c>
      <c r="C14" s="13">
        <v>7633</v>
      </c>
    </row>
    <row r="17" spans="2:5">
      <c r="B17" s="14" t="s">
        <v>320</v>
      </c>
    </row>
    <row r="19" spans="2:5">
      <c r="B19" s="12" t="s">
        <v>17</v>
      </c>
      <c r="C19" t="s">
        <v>316</v>
      </c>
    </row>
    <row r="21" spans="2:5">
      <c r="B21" s="12" t="s">
        <v>317</v>
      </c>
      <c r="C21" t="s">
        <v>321</v>
      </c>
    </row>
    <row r="22" spans="2:5">
      <c r="B22" s="14" t="s">
        <v>29</v>
      </c>
      <c r="C22" s="15">
        <v>0</v>
      </c>
    </row>
    <row r="23" spans="2:5">
      <c r="B23" s="14" t="s">
        <v>34</v>
      </c>
      <c r="C23" s="15">
        <v>0</v>
      </c>
    </row>
    <row r="24" spans="2:5">
      <c r="B24" s="14" t="s">
        <v>25</v>
      </c>
      <c r="C24" s="15">
        <v>2940</v>
      </c>
    </row>
    <row r="25" spans="2:5">
      <c r="B25" s="14" t="s">
        <v>319</v>
      </c>
      <c r="C25" s="15">
        <v>2940</v>
      </c>
      <c r="E25" s="16">
        <f>GETPIVOTDATA("EA Play Season Pass
Price",$B$21)</f>
        <v>2940</v>
      </c>
    </row>
    <row r="28" spans="2:5">
      <c r="B28" s="14" t="s">
        <v>322</v>
      </c>
    </row>
    <row r="30" spans="2:5">
      <c r="B30" s="12" t="s">
        <v>17</v>
      </c>
      <c r="C30" t="s">
        <v>316</v>
      </c>
    </row>
    <row r="32" spans="2:5">
      <c r="B32" s="12" t="s">
        <v>317</v>
      </c>
      <c r="C32" t="s">
        <v>323</v>
      </c>
    </row>
    <row r="33" spans="1:5">
      <c r="B33" s="14" t="s">
        <v>29</v>
      </c>
      <c r="C33" s="13">
        <v>0</v>
      </c>
    </row>
    <row r="34" spans="1:5">
      <c r="B34" s="14" t="s">
        <v>34</v>
      </c>
      <c r="C34" s="13">
        <v>1920</v>
      </c>
    </row>
    <row r="35" spans="1:5">
      <c r="B35" s="14" t="s">
        <v>25</v>
      </c>
      <c r="C35" s="13">
        <v>1960</v>
      </c>
    </row>
    <row r="36" spans="1:5">
      <c r="B36" s="14" t="s">
        <v>319</v>
      </c>
      <c r="C36" s="13">
        <v>3880</v>
      </c>
      <c r="E36" s="16">
        <f>GETPIVOTDATA("Minecraft Season Pass Price",$B$32)</f>
        <v>3880</v>
      </c>
    </row>
    <row r="40" spans="1:5">
      <c r="B40" s="18" t="s">
        <v>324</v>
      </c>
    </row>
    <row r="42" spans="1:5">
      <c r="A42" s="19"/>
      <c r="B42" s="19"/>
    </row>
    <row r="43" spans="1:5">
      <c r="A43" s="19"/>
      <c r="B43" s="12" t="s">
        <v>17</v>
      </c>
      <c r="C43" t="s">
        <v>316</v>
      </c>
    </row>
    <row r="44" spans="1:5">
      <c r="A44" s="19"/>
      <c r="B44" s="22"/>
      <c r="C44" s="19"/>
      <c r="E44" s="13"/>
    </row>
    <row r="45" spans="1:5">
      <c r="A45" s="19"/>
      <c r="B45" s="12" t="s">
        <v>13</v>
      </c>
      <c r="C45" t="s">
        <v>318</v>
      </c>
      <c r="E45" s="13">
        <f>C47</f>
        <v>1801</v>
      </c>
    </row>
    <row r="46" spans="1:5">
      <c r="A46" s="19"/>
      <c r="B46" t="s">
        <v>29</v>
      </c>
      <c r="C46" s="13">
        <v>444</v>
      </c>
    </row>
    <row r="47" spans="1:5">
      <c r="A47" s="19"/>
      <c r="B47" t="s">
        <v>34</v>
      </c>
      <c r="C47" s="13">
        <v>1801</v>
      </c>
    </row>
    <row r="48" spans="1:5">
      <c r="A48" s="19"/>
      <c r="B48" t="s">
        <v>25</v>
      </c>
      <c r="C48" s="13">
        <v>5388</v>
      </c>
    </row>
    <row r="49" spans="1:5">
      <c r="A49" s="19"/>
      <c r="B49" t="s">
        <v>319</v>
      </c>
      <c r="C49" s="13">
        <v>7633</v>
      </c>
      <c r="E49" s="13"/>
    </row>
    <row r="51" spans="1:5">
      <c r="B51" s="18" t="s">
        <v>325</v>
      </c>
    </row>
    <row r="54" spans="1:5">
      <c r="B54" s="12" t="s">
        <v>17</v>
      </c>
      <c r="C54" t="s">
        <v>316</v>
      </c>
    </row>
    <row r="55" spans="1:5">
      <c r="B55" s="7"/>
      <c r="C55" s="7"/>
    </row>
    <row r="56" spans="1:5">
      <c r="B56" s="12" t="s">
        <v>12</v>
      </c>
      <c r="C56" t="s">
        <v>318</v>
      </c>
    </row>
    <row r="57" spans="1:5">
      <c r="B57" t="s">
        <v>224</v>
      </c>
      <c r="C57" s="13">
        <v>120</v>
      </c>
    </row>
    <row r="58" spans="1:5">
      <c r="B58" t="s">
        <v>126</v>
      </c>
      <c r="C58" s="13">
        <v>107</v>
      </c>
    </row>
    <row r="59" spans="1:5">
      <c r="B59" t="s">
        <v>123</v>
      </c>
      <c r="C59" s="13">
        <v>105</v>
      </c>
    </row>
    <row r="60" spans="1:5">
      <c r="B60" t="s">
        <v>319</v>
      </c>
      <c r="C60" s="13">
        <v>332</v>
      </c>
      <c r="E60" s="13">
        <f>C60</f>
        <v>332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M489"/>
  <sheetViews>
    <sheetView showGridLines="0" showRowColHeaders="0" tabSelected="1" topLeftCell="A31" zoomScaleNormal="100" workbookViewId="0">
      <selection activeCell="C5" sqref="C5"/>
    </sheetView>
  </sheetViews>
  <sheetFormatPr defaultRowHeight="15" zeroHeight="1"/>
  <cols>
    <col min="1" max="1" width="13.7109375" style="4" customWidth="1"/>
    <col min="2" max="2" width="16" customWidth="1"/>
    <col min="3" max="3" width="18.7109375" bestFit="1" customWidth="1"/>
    <col min="4" max="4" width="33.7109375" bestFit="1" customWidth="1"/>
    <col min="6" max="6" width="10.42578125" bestFit="1" customWidth="1"/>
    <col min="7" max="7" width="18.7109375" bestFit="1" customWidth="1"/>
    <col min="9" max="9" width="11.140625" bestFit="1" customWidth="1"/>
    <col min="13" max="13" width="12" bestFit="1" customWidth="1"/>
  </cols>
  <sheetData>
    <row r="1" spans="1:11" s="19" customFormat="1">
      <c r="A1" s="30"/>
      <c r="B1" s="30"/>
      <c r="C1" s="30"/>
      <c r="D1" s="30"/>
      <c r="E1" s="30"/>
      <c r="F1" s="30"/>
      <c r="G1" s="30"/>
      <c r="H1" s="30"/>
      <c r="I1" s="30"/>
      <c r="J1" s="30"/>
      <c r="K1" s="39"/>
    </row>
    <row r="2" spans="1:11" s="19" customFormat="1" ht="27.75" customHeight="1">
      <c r="A2" s="41"/>
      <c r="B2" s="7"/>
      <c r="C2" s="26" t="s">
        <v>326</v>
      </c>
      <c r="D2" s="27" t="s">
        <v>327</v>
      </c>
      <c r="E2" s="28"/>
      <c r="F2" s="28"/>
      <c r="G2" s="28"/>
      <c r="H2" s="28"/>
      <c r="I2" s="28"/>
      <c r="J2" s="35"/>
      <c r="K2" s="35"/>
    </row>
    <row r="3" spans="1:11" s="19" customFormat="1" ht="19.5" customHeight="1">
      <c r="A3" s="30"/>
      <c r="B3" s="30"/>
      <c r="C3" s="7"/>
      <c r="D3" s="7"/>
      <c r="E3" s="7"/>
      <c r="F3" s="7"/>
      <c r="G3" s="7"/>
      <c r="H3" s="7"/>
      <c r="I3" s="7"/>
      <c r="J3" s="36"/>
      <c r="K3" s="37"/>
    </row>
    <row r="4" spans="1:11" s="19" customFormat="1" ht="8.25" customHeight="1">
      <c r="A4" s="29"/>
      <c r="B4" s="29"/>
      <c r="C4" s="7"/>
      <c r="D4" s="7"/>
      <c r="E4" s="7"/>
      <c r="F4" s="7"/>
      <c r="G4" s="7"/>
      <c r="H4" s="7"/>
      <c r="I4" s="7"/>
      <c r="J4" s="7"/>
      <c r="K4" s="31"/>
    </row>
    <row r="5" spans="1:11" s="19" customFormat="1" ht="7.5" customHeight="1">
      <c r="A5" s="29"/>
      <c r="B5" s="29"/>
      <c r="C5" s="7"/>
      <c r="D5" s="7"/>
      <c r="E5" s="7"/>
      <c r="F5" s="7"/>
      <c r="G5" s="7"/>
      <c r="H5" s="7"/>
      <c r="I5" s="7"/>
      <c r="J5" s="7"/>
      <c r="K5" s="31"/>
    </row>
    <row r="6" spans="1:11" s="19" customFormat="1" ht="10.5" customHeight="1">
      <c r="A6" s="29"/>
      <c r="B6" s="29"/>
      <c r="C6" s="7"/>
      <c r="D6" s="7"/>
      <c r="E6" s="7"/>
      <c r="F6" s="7"/>
      <c r="G6" s="7"/>
      <c r="H6" s="7"/>
      <c r="I6" s="7"/>
      <c r="J6" s="7"/>
      <c r="K6" s="31"/>
    </row>
    <row r="7" spans="1:11" s="19" customFormat="1" ht="9.75" customHeight="1">
      <c r="A7" s="29"/>
      <c r="B7" s="29"/>
      <c r="C7" s="7"/>
      <c r="D7" s="7"/>
      <c r="E7" s="7"/>
      <c r="F7" s="7"/>
      <c r="G7" s="7"/>
      <c r="H7" s="7"/>
      <c r="I7" s="7"/>
      <c r="J7" s="7"/>
      <c r="K7" s="31"/>
    </row>
    <row r="8" spans="1:11" s="19" customFormat="1" ht="11.25" customHeight="1">
      <c r="A8" s="29"/>
      <c r="B8" s="29"/>
      <c r="C8" s="7"/>
      <c r="D8" s="7"/>
      <c r="E8" s="7"/>
      <c r="F8" s="25"/>
      <c r="G8" s="7"/>
      <c r="H8" s="7"/>
      <c r="I8" s="7"/>
      <c r="J8" s="7"/>
      <c r="K8" s="31"/>
    </row>
    <row r="9" spans="1:11" s="19" customFormat="1">
      <c r="A9" s="21"/>
      <c r="B9" s="21"/>
      <c r="C9" s="7"/>
      <c r="D9" s="7"/>
      <c r="E9" s="7"/>
      <c r="F9" s="7"/>
      <c r="G9" s="7"/>
      <c r="H9" s="7"/>
      <c r="I9" s="7"/>
      <c r="J9" s="7"/>
      <c r="K9" s="31"/>
    </row>
    <row r="10" spans="1:11" s="19" customFormat="1">
      <c r="A10" s="21"/>
      <c r="B10" s="21"/>
      <c r="C10" s="7"/>
      <c r="D10" s="7"/>
      <c r="E10" s="7"/>
      <c r="F10" s="7"/>
      <c r="G10" s="7"/>
      <c r="H10" s="7"/>
      <c r="I10" s="7"/>
      <c r="J10" s="7"/>
      <c r="K10" s="31"/>
    </row>
    <row r="11" spans="1:11" s="19" customFormat="1" ht="14.25" customHeight="1">
      <c r="A11" s="21"/>
      <c r="B11" s="21"/>
      <c r="C11" s="7"/>
      <c r="D11" s="7"/>
      <c r="E11" s="7"/>
      <c r="F11" s="7"/>
      <c r="G11" s="7"/>
      <c r="H11" s="7"/>
      <c r="I11" s="7"/>
      <c r="J11" s="7"/>
      <c r="K11" s="31"/>
    </row>
    <row r="12" spans="1:11" s="19" customFormat="1">
      <c r="A12" s="21"/>
      <c r="B12" s="21"/>
      <c r="C12" s="7"/>
      <c r="D12" s="7"/>
      <c r="E12" s="7"/>
      <c r="F12" s="7"/>
      <c r="G12" s="7"/>
      <c r="H12" s="7"/>
      <c r="I12" s="7"/>
      <c r="J12" s="7"/>
      <c r="K12" s="31"/>
    </row>
    <row r="13" spans="1:11" s="19" customFormat="1">
      <c r="A13" s="21"/>
      <c r="B13" s="21"/>
      <c r="C13" s="7"/>
      <c r="D13" s="7"/>
      <c r="E13" s="7"/>
      <c r="F13" s="7"/>
      <c r="G13" s="7"/>
      <c r="H13" s="7"/>
      <c r="I13" s="7"/>
      <c r="J13" s="7"/>
      <c r="K13" s="31"/>
    </row>
    <row r="14" spans="1:11" s="19" customFormat="1">
      <c r="A14" s="21"/>
      <c r="B14" s="21"/>
      <c r="C14" s="7"/>
      <c r="D14" s="7"/>
      <c r="E14" s="7"/>
      <c r="F14" s="7"/>
      <c r="G14" s="7"/>
      <c r="H14" s="7"/>
      <c r="I14" s="7"/>
      <c r="J14" s="7"/>
      <c r="K14" s="31"/>
    </row>
    <row r="15" spans="1:11" s="19" customFormat="1">
      <c r="A15" s="21"/>
      <c r="B15" s="21"/>
      <c r="C15" s="7"/>
      <c r="D15" s="7"/>
      <c r="E15" s="7"/>
      <c r="F15" s="7"/>
      <c r="G15" s="7"/>
      <c r="H15" s="7"/>
      <c r="I15" s="7"/>
      <c r="J15" s="7"/>
      <c r="K15" s="31"/>
    </row>
    <row r="16" spans="1:11" s="19" customFormat="1">
      <c r="A16" s="21"/>
      <c r="B16" s="21"/>
      <c r="C16" s="7"/>
      <c r="D16" s="7"/>
      <c r="E16" s="7"/>
      <c r="F16" s="7"/>
      <c r="G16" s="7"/>
      <c r="H16" s="7"/>
      <c r="I16" s="7"/>
      <c r="J16" s="7"/>
      <c r="K16" s="31"/>
    </row>
    <row r="17" spans="1:13" s="19" customFormat="1">
      <c r="A17" s="21"/>
      <c r="B17" s="21"/>
      <c r="C17" s="7"/>
      <c r="D17" s="7"/>
      <c r="E17" s="7"/>
      <c r="F17" s="7"/>
      <c r="G17" s="7"/>
      <c r="H17" s="7"/>
      <c r="I17" s="7"/>
      <c r="J17" s="7"/>
      <c r="K17" s="31"/>
    </row>
    <row r="18" spans="1:13" s="19" customFormat="1">
      <c r="A18" s="21"/>
      <c r="B18" s="21"/>
      <c r="C18" s="7"/>
      <c r="D18" s="7"/>
      <c r="E18" s="7"/>
      <c r="F18" s="7"/>
      <c r="G18" s="7"/>
      <c r="H18" s="7"/>
      <c r="I18" s="7"/>
      <c r="J18" s="7"/>
      <c r="K18" s="31"/>
    </row>
    <row r="19" spans="1:13" s="19" customFormat="1">
      <c r="A19" s="21"/>
      <c r="B19" s="21"/>
      <c r="C19" s="7"/>
      <c r="D19" s="7"/>
      <c r="E19" s="7"/>
      <c r="F19" s="7"/>
      <c r="G19" s="7"/>
      <c r="H19" s="7"/>
      <c r="I19" s="7"/>
      <c r="J19" s="7"/>
      <c r="K19" s="31"/>
    </row>
    <row r="20" spans="1:13" s="19" customFormat="1">
      <c r="A20" s="4"/>
      <c r="B20" s="4"/>
      <c r="C20" s="7"/>
      <c r="D20" s="7"/>
      <c r="E20" s="7"/>
      <c r="F20" s="7"/>
      <c r="G20" s="7"/>
      <c r="H20" s="7"/>
      <c r="I20" s="7"/>
      <c r="J20" s="7"/>
      <c r="K20" s="31"/>
    </row>
    <row r="21" spans="1:13" s="19" customFormat="1">
      <c r="A21" s="30"/>
      <c r="B21" s="30"/>
      <c r="C21" s="7"/>
      <c r="D21" s="7"/>
      <c r="E21" s="7"/>
      <c r="F21" s="7"/>
      <c r="G21" s="7"/>
      <c r="H21" s="7"/>
      <c r="I21" s="7"/>
      <c r="J21" s="7"/>
      <c r="K21" s="31"/>
    </row>
    <row r="22" spans="1:13" s="19" customFormat="1">
      <c r="A22" s="21"/>
      <c r="B22" s="21"/>
      <c r="C22" s="7"/>
      <c r="D22" s="34"/>
      <c r="E22" s="34"/>
      <c r="F22" s="34"/>
      <c r="G22" s="34"/>
      <c r="H22" s="34"/>
      <c r="I22" s="34"/>
      <c r="J22" s="34"/>
      <c r="K22" s="31"/>
    </row>
    <row r="23" spans="1:13" s="19" customFormat="1">
      <c r="A23" s="4"/>
      <c r="B23" s="4"/>
      <c r="C23" s="7"/>
      <c r="D23" s="7"/>
      <c r="E23" s="7"/>
      <c r="F23" s="7"/>
      <c r="G23" s="7"/>
      <c r="H23" s="7"/>
      <c r="I23" s="7"/>
      <c r="J23" s="7"/>
      <c r="K23" s="31"/>
    </row>
    <row r="24" spans="1:13" s="19" customFormat="1">
      <c r="A24" s="4"/>
      <c r="B24" s="4"/>
      <c r="C24" s="7"/>
      <c r="D24" s="7"/>
      <c r="E24" s="7"/>
      <c r="F24" s="7"/>
      <c r="G24" s="7"/>
      <c r="H24" s="7"/>
      <c r="I24" s="7"/>
      <c r="J24" s="7"/>
      <c r="K24" s="31"/>
    </row>
    <row r="25" spans="1:13" s="19" customFormat="1">
      <c r="A25" s="4"/>
      <c r="B25" s="4"/>
      <c r="C25" s="7"/>
      <c r="D25" s="7"/>
      <c r="E25" s="7"/>
      <c r="F25" s="7"/>
      <c r="G25" s="7"/>
      <c r="H25" s="7"/>
      <c r="I25" s="7"/>
      <c r="J25" s="7"/>
      <c r="K25" s="31"/>
    </row>
    <row r="26" spans="1:13" s="19" customFormat="1">
      <c r="A26" s="4"/>
      <c r="B26" s="4"/>
      <c r="C26" s="7"/>
      <c r="D26" s="7"/>
      <c r="E26" s="7"/>
      <c r="F26" s="7"/>
      <c r="G26" s="7"/>
      <c r="H26" s="7"/>
      <c r="I26" s="7"/>
      <c r="J26" s="7"/>
      <c r="K26" s="31"/>
    </row>
    <row r="27" spans="1:13" s="19" customFormat="1">
      <c r="A27" s="4"/>
      <c r="B27" s="4"/>
      <c r="C27" s="7"/>
      <c r="D27" s="7"/>
      <c r="E27" s="7"/>
      <c r="F27" s="7"/>
      <c r="G27" s="7"/>
      <c r="H27" s="7"/>
      <c r="I27" s="7"/>
      <c r="J27" s="7"/>
      <c r="K27" s="31"/>
    </row>
    <row r="28" spans="1:13" s="19" customFormat="1">
      <c r="A28" s="4"/>
      <c r="B28" s="4"/>
      <c r="C28" s="7"/>
      <c r="D28" s="7"/>
      <c r="E28" s="7"/>
      <c r="F28" s="7"/>
      <c r="G28" s="7"/>
      <c r="H28" s="7"/>
      <c r="I28" s="7"/>
      <c r="J28" s="7"/>
      <c r="K28" s="31"/>
    </row>
    <row r="29" spans="1:13" s="19" customFormat="1">
      <c r="A29" s="4"/>
      <c r="B29" s="4"/>
      <c r="C29" s="7"/>
      <c r="D29" s="7"/>
      <c r="E29" s="7"/>
      <c r="F29" s="7"/>
      <c r="G29" s="7"/>
      <c r="H29" s="7"/>
      <c r="I29" s="7"/>
      <c r="J29" s="7"/>
      <c r="K29" s="31"/>
    </row>
    <row r="30" spans="1:13" s="19" customFormat="1">
      <c r="A30" s="4"/>
      <c r="B30" s="4"/>
      <c r="C30" s="7"/>
      <c r="D30" s="7"/>
      <c r="E30" s="7"/>
      <c r="F30" s="7"/>
      <c r="G30" s="7"/>
      <c r="H30" s="7"/>
      <c r="I30" s="7"/>
      <c r="J30" s="7"/>
      <c r="K30" s="31"/>
      <c r="M30" s="40"/>
    </row>
    <row r="31" spans="1:13" s="19" customFormat="1">
      <c r="A31" s="4"/>
      <c r="B31" s="4"/>
      <c r="C31" s="7"/>
      <c r="D31" s="7"/>
      <c r="E31" s="7"/>
      <c r="F31" s="7"/>
      <c r="G31" s="7"/>
      <c r="H31" s="7"/>
      <c r="I31" s="7"/>
      <c r="J31" s="7"/>
      <c r="K31" s="31"/>
    </row>
    <row r="32" spans="1:13" s="19" customFormat="1">
      <c r="A32" s="4"/>
      <c r="B32" s="4"/>
      <c r="C32" s="7"/>
      <c r="D32" s="7"/>
      <c r="E32" s="7"/>
      <c r="F32" s="7"/>
      <c r="G32" s="7"/>
      <c r="H32" s="7"/>
      <c r="I32" s="7"/>
      <c r="J32" s="7"/>
      <c r="K32" s="31"/>
    </row>
    <row r="33" spans="1:11" s="19" customFormat="1">
      <c r="A33" s="30"/>
      <c r="B33" s="30"/>
      <c r="C33" s="33"/>
      <c r="D33" s="33"/>
      <c r="E33" s="33"/>
      <c r="F33" s="33"/>
      <c r="G33" s="33"/>
      <c r="H33" s="33"/>
      <c r="I33" s="33"/>
      <c r="J33" s="33"/>
      <c r="K33" s="31"/>
    </row>
    <row r="34" spans="1:11" s="19" customFormat="1">
      <c r="A34" s="4"/>
      <c r="B34" s="4"/>
      <c r="C34" s="7"/>
      <c r="D34" s="7"/>
      <c r="E34" s="7"/>
      <c r="F34" s="7"/>
      <c r="G34" s="7"/>
      <c r="H34" s="7"/>
      <c r="I34" s="7"/>
      <c r="J34" s="7"/>
      <c r="K34" s="31"/>
    </row>
    <row r="35" spans="1:11" s="19" customFormat="1">
      <c r="A35" s="4"/>
      <c r="B35" s="4"/>
      <c r="C35" s="7"/>
      <c r="D35" s="7"/>
      <c r="E35" s="7"/>
      <c r="F35" s="7"/>
      <c r="G35" s="7"/>
      <c r="H35" s="7"/>
      <c r="I35" s="7"/>
      <c r="J35" s="7"/>
      <c r="K35" s="31"/>
    </row>
    <row r="36" spans="1:11" s="19" customFormat="1">
      <c r="A36" s="4"/>
      <c r="B36" s="4"/>
      <c r="C36" s="7"/>
      <c r="D36" s="7"/>
      <c r="E36" s="7"/>
      <c r="F36" s="7"/>
      <c r="G36" s="7"/>
      <c r="H36" s="7"/>
      <c r="I36" s="7"/>
      <c r="J36" s="7"/>
      <c r="K36" s="31"/>
    </row>
    <row r="37" spans="1:11" s="19" customFormat="1">
      <c r="A37" s="4"/>
      <c r="B37" s="4"/>
      <c r="C37" s="7"/>
      <c r="D37" s="7"/>
      <c r="E37" s="7"/>
      <c r="F37" s="7"/>
      <c r="G37" s="7"/>
      <c r="H37" s="7"/>
      <c r="I37" s="7"/>
      <c r="J37" s="7"/>
      <c r="K37" s="31"/>
    </row>
    <row r="38" spans="1:11" s="19" customFormat="1">
      <c r="A38" s="4"/>
      <c r="B38" s="4"/>
      <c r="C38" s="7"/>
      <c r="D38" s="7"/>
      <c r="E38" s="7"/>
      <c r="F38" s="7"/>
      <c r="G38" s="7"/>
      <c r="H38" s="7"/>
      <c r="I38" s="7"/>
      <c r="J38" s="7"/>
      <c r="K38" s="31"/>
    </row>
    <row r="39" spans="1:11" s="19" customFormat="1">
      <c r="A39" s="4"/>
      <c r="B39" s="4"/>
      <c r="C39" s="7"/>
      <c r="D39" s="7"/>
      <c r="E39" s="7"/>
      <c r="F39" s="7"/>
      <c r="G39" s="7"/>
      <c r="H39" s="7"/>
      <c r="I39" s="23"/>
      <c r="J39" s="7"/>
      <c r="K39" s="31"/>
    </row>
    <row r="40" spans="1:11" s="19" customFormat="1">
      <c r="A40" s="4"/>
      <c r="B40" s="4"/>
      <c r="C40" s="7"/>
      <c r="D40" s="7"/>
      <c r="E40" s="7"/>
      <c r="F40" s="7"/>
      <c r="G40" s="7"/>
      <c r="H40" s="7"/>
      <c r="I40" s="7"/>
      <c r="J40" s="7"/>
      <c r="K40" s="31"/>
    </row>
    <row r="41" spans="1:11" s="19" customFormat="1">
      <c r="A41" s="4"/>
      <c r="B41" s="4"/>
      <c r="C41" s="7"/>
      <c r="D41" s="7"/>
      <c r="E41" s="7"/>
      <c r="F41" s="7"/>
      <c r="G41" s="7"/>
      <c r="H41" s="7"/>
      <c r="I41" s="7"/>
      <c r="J41" s="7"/>
      <c r="K41" s="31"/>
    </row>
    <row r="42" spans="1:11" s="19" customFormat="1">
      <c r="A42" s="4"/>
      <c r="B42" s="4"/>
      <c r="C42" s="7"/>
      <c r="D42" s="7"/>
      <c r="E42" s="7"/>
      <c r="F42" s="7"/>
      <c r="G42" s="7"/>
      <c r="H42" s="7"/>
      <c r="I42" s="7"/>
      <c r="J42" s="7"/>
      <c r="K42" s="31"/>
    </row>
    <row r="43" spans="1:11" s="19" customFormat="1">
      <c r="A43" s="4"/>
      <c r="B43" s="4"/>
      <c r="C43" s="7"/>
      <c r="D43" s="7"/>
      <c r="E43" s="7"/>
      <c r="F43" s="7"/>
      <c r="G43" s="7"/>
      <c r="H43" s="7"/>
      <c r="I43" s="7"/>
      <c r="J43" s="7"/>
      <c r="K43" s="31"/>
    </row>
    <row r="44" spans="1:11" s="19" customFormat="1">
      <c r="A44" s="4"/>
      <c r="B44" s="4"/>
      <c r="C44" s="7"/>
      <c r="D44" s="7"/>
      <c r="E44" s="7"/>
      <c r="F44" s="7"/>
      <c r="G44" s="7"/>
      <c r="H44" s="7"/>
      <c r="I44" s="7"/>
      <c r="J44" s="7"/>
      <c r="K44" s="31"/>
    </row>
    <row r="45" spans="1:11" s="19" customFormat="1">
      <c r="A45" s="30"/>
      <c r="B45" s="30"/>
      <c r="C45" s="7"/>
      <c r="D45" s="7"/>
      <c r="E45" s="7"/>
      <c r="F45" s="7"/>
      <c r="G45" s="7"/>
      <c r="H45" s="7"/>
      <c r="I45" s="7"/>
      <c r="J45" s="7"/>
      <c r="K45" s="31"/>
    </row>
    <row r="46" spans="1:11" s="19" customFormat="1">
      <c r="K46" s="32"/>
    </row>
    <row r="47" spans="1:11" s="19" customFormat="1">
      <c r="B47"/>
      <c r="C47"/>
      <c r="D47"/>
      <c r="E47"/>
      <c r="F47"/>
      <c r="G47"/>
      <c r="H47"/>
      <c r="I47"/>
      <c r="J47"/>
      <c r="K47"/>
    </row>
    <row r="48" spans="1:11" s="19" customFormat="1">
      <c r="B48"/>
      <c r="C48"/>
      <c r="D48"/>
      <c r="E48"/>
      <c r="F48"/>
      <c r="G48"/>
      <c r="H48"/>
      <c r="I48"/>
      <c r="J48"/>
      <c r="K48"/>
    </row>
    <row r="49" spans="1:11" s="19" customFormat="1">
      <c r="B49"/>
      <c r="C49"/>
      <c r="D49"/>
      <c r="E49"/>
      <c r="F49"/>
      <c r="G49"/>
      <c r="H49"/>
      <c r="I49"/>
      <c r="J49"/>
      <c r="K49"/>
    </row>
    <row r="50" spans="1:11" s="19" customFormat="1">
      <c r="B50"/>
      <c r="C50"/>
      <c r="D50"/>
      <c r="E50"/>
      <c r="F50"/>
      <c r="G50"/>
      <c r="H50"/>
      <c r="I50"/>
      <c r="J50"/>
      <c r="K50"/>
    </row>
    <row r="51" spans="1:11" s="19" customFormat="1">
      <c r="B51"/>
      <c r="C51"/>
      <c r="D51"/>
      <c r="E51"/>
      <c r="F51"/>
      <c r="G51"/>
      <c r="H51"/>
      <c r="I51"/>
      <c r="J51"/>
      <c r="K51"/>
    </row>
    <row r="52" spans="1:11" s="19" customFormat="1">
      <c r="A52" s="4"/>
      <c r="B52"/>
      <c r="C52"/>
      <c r="D52"/>
      <c r="E52"/>
      <c r="F52"/>
      <c r="G52"/>
      <c r="H52"/>
      <c r="I52"/>
      <c r="J52"/>
      <c r="K52"/>
    </row>
    <row r="53" spans="1:11" s="19" customFormat="1">
      <c r="A53" s="4"/>
      <c r="B53"/>
      <c r="C53"/>
      <c r="D53"/>
      <c r="E53"/>
      <c r="F53"/>
      <c r="G53"/>
      <c r="H53"/>
      <c r="I53"/>
      <c r="J53"/>
      <c r="K53"/>
    </row>
    <row r="54" spans="1:11" s="19" customFormat="1">
      <c r="A54" s="4"/>
      <c r="B54"/>
      <c r="C54"/>
      <c r="D54"/>
      <c r="E54"/>
      <c r="F54"/>
      <c r="G54"/>
      <c r="H54"/>
      <c r="I54"/>
      <c r="J54"/>
      <c r="K54"/>
    </row>
    <row r="55" spans="1:11" s="19" customFormat="1">
      <c r="A55" s="4"/>
      <c r="B55"/>
      <c r="C55"/>
      <c r="D55"/>
      <c r="E55"/>
      <c r="F55"/>
      <c r="G55"/>
      <c r="H55"/>
      <c r="I55"/>
      <c r="J55"/>
      <c r="K55"/>
    </row>
    <row r="56" spans="1:11" s="19" customFormat="1">
      <c r="A56" s="4"/>
      <c r="B56"/>
      <c r="C56"/>
      <c r="D56"/>
      <c r="E56"/>
      <c r="F56"/>
      <c r="G56"/>
      <c r="H56"/>
      <c r="I56"/>
      <c r="J56"/>
      <c r="K56"/>
    </row>
    <row r="57" spans="1:11" s="19" customFormat="1">
      <c r="A57" s="4"/>
      <c r="B57"/>
      <c r="C57"/>
      <c r="D57"/>
      <c r="E57"/>
      <c r="F57"/>
      <c r="G57"/>
      <c r="H57"/>
      <c r="I57"/>
      <c r="J57"/>
      <c r="K57"/>
    </row>
    <row r="58" spans="1:11" s="19" customFormat="1">
      <c r="A58" s="4"/>
      <c r="B58"/>
      <c r="C58"/>
      <c r="D58"/>
      <c r="E58"/>
      <c r="F58"/>
      <c r="G58"/>
      <c r="H58"/>
      <c r="I58"/>
      <c r="J58"/>
      <c r="K58"/>
    </row>
    <row r="59" spans="1:11" s="19" customFormat="1">
      <c r="A59" s="4"/>
      <c r="B59"/>
      <c r="C59"/>
      <c r="D59"/>
      <c r="E59"/>
      <c r="F59"/>
      <c r="G59"/>
      <c r="H59"/>
      <c r="I59"/>
      <c r="J59"/>
      <c r="K59"/>
    </row>
    <row r="60" spans="1:11" s="19" customFormat="1">
      <c r="A60" s="4"/>
      <c r="B60"/>
      <c r="C60"/>
      <c r="D60"/>
      <c r="E60"/>
      <c r="F60"/>
      <c r="G60"/>
      <c r="H60"/>
      <c r="I60"/>
      <c r="J60"/>
      <c r="K60"/>
    </row>
    <row r="61" spans="1:11" s="19" customFormat="1">
      <c r="A61" s="4"/>
      <c r="B61"/>
      <c r="C61"/>
      <c r="D61"/>
      <c r="E61"/>
      <c r="F61"/>
      <c r="G61"/>
      <c r="H61"/>
      <c r="I61"/>
      <c r="J61"/>
      <c r="K61"/>
    </row>
    <row r="62" spans="1:11" s="19" customFormat="1">
      <c r="A62" s="4"/>
      <c r="B62"/>
      <c r="C62"/>
      <c r="D62"/>
      <c r="E62"/>
      <c r="F62"/>
      <c r="G62"/>
      <c r="H62"/>
      <c r="I62"/>
      <c r="J62"/>
      <c r="K62"/>
    </row>
    <row r="63" spans="1:11" s="19" customFormat="1">
      <c r="A63" s="4"/>
      <c r="B63"/>
      <c r="C63"/>
      <c r="D63"/>
      <c r="E63"/>
      <c r="F63"/>
      <c r="G63"/>
      <c r="H63"/>
      <c r="I63"/>
      <c r="J63"/>
      <c r="K63"/>
    </row>
    <row r="64" spans="1:11" s="19" customFormat="1">
      <c r="A64" s="4"/>
      <c r="B64"/>
      <c r="C64"/>
      <c r="D64"/>
      <c r="E64"/>
      <c r="F64"/>
      <c r="G64"/>
      <c r="H64"/>
      <c r="I64"/>
      <c r="J64"/>
      <c r="K64"/>
    </row>
    <row r="65" spans="1:11" s="19" customFormat="1">
      <c r="A65" s="4"/>
      <c r="B65"/>
      <c r="C65"/>
      <c r="D65"/>
      <c r="E65"/>
      <c r="F65"/>
      <c r="G65"/>
      <c r="H65"/>
      <c r="I65"/>
      <c r="J65"/>
      <c r="K65"/>
    </row>
    <row r="66" spans="1:11" s="19" customFormat="1">
      <c r="A66" s="4"/>
      <c r="B66"/>
      <c r="C66"/>
      <c r="D66"/>
      <c r="E66"/>
      <c r="F66"/>
      <c r="G66"/>
      <c r="H66"/>
      <c r="I66"/>
      <c r="J66"/>
      <c r="K66"/>
    </row>
    <row r="67" spans="1:11" s="19" customFormat="1">
      <c r="A67" s="4"/>
      <c r="B67"/>
      <c r="C67"/>
      <c r="D67"/>
      <c r="E67"/>
      <c r="F67"/>
      <c r="G67"/>
      <c r="H67"/>
      <c r="I67"/>
      <c r="J67"/>
      <c r="K67"/>
    </row>
    <row r="68" spans="1:11" s="19" customFormat="1">
      <c r="A68" s="4"/>
      <c r="B68"/>
      <c r="C68"/>
      <c r="D68"/>
      <c r="E68"/>
      <c r="F68"/>
      <c r="G68"/>
      <c r="H68"/>
      <c r="I68"/>
      <c r="J68"/>
      <c r="K68"/>
    </row>
    <row r="69" spans="1:11" s="19" customFormat="1">
      <c r="A69" s="4"/>
      <c r="B69"/>
      <c r="C69"/>
      <c r="D69"/>
      <c r="E69"/>
      <c r="F69"/>
      <c r="G69"/>
      <c r="H69"/>
      <c r="I69"/>
      <c r="J69"/>
      <c r="K69"/>
    </row>
    <row r="70" spans="1:11" s="19" customFormat="1">
      <c r="A70" s="4"/>
      <c r="B70"/>
      <c r="C70"/>
      <c r="D70"/>
      <c r="E70"/>
      <c r="F70"/>
      <c r="G70"/>
      <c r="H70"/>
      <c r="I70"/>
      <c r="J70"/>
      <c r="K70"/>
    </row>
    <row r="71" spans="1:11" s="19" customFormat="1">
      <c r="A71" s="4"/>
      <c r="B71"/>
      <c r="C71"/>
      <c r="D71"/>
      <c r="E71"/>
      <c r="F71"/>
      <c r="G71"/>
      <c r="H71"/>
      <c r="I71"/>
      <c r="J71"/>
      <c r="K71"/>
    </row>
    <row r="72" spans="1:11" s="19" customFormat="1">
      <c r="A72" s="4"/>
      <c r="B72"/>
      <c r="C72"/>
      <c r="D72"/>
      <c r="E72"/>
      <c r="F72"/>
      <c r="G72"/>
      <c r="H72"/>
      <c r="I72"/>
      <c r="J72"/>
      <c r="K72"/>
    </row>
    <row r="73" spans="1:11" s="19" customFormat="1">
      <c r="A73" s="4"/>
      <c r="B73"/>
      <c r="C73"/>
      <c r="D73"/>
      <c r="E73"/>
      <c r="F73"/>
      <c r="G73"/>
      <c r="H73"/>
      <c r="I73"/>
      <c r="J73"/>
      <c r="K73"/>
    </row>
    <row r="74" spans="1:11" s="19" customFormat="1">
      <c r="A74" s="4"/>
      <c r="B74"/>
      <c r="C74"/>
      <c r="D74"/>
      <c r="E74"/>
      <c r="F74"/>
      <c r="G74"/>
      <c r="H74"/>
      <c r="I74"/>
      <c r="J74"/>
      <c r="K74"/>
    </row>
    <row r="75" spans="1:11" s="19" customFormat="1">
      <c r="A75" s="4"/>
      <c r="B75"/>
      <c r="C75"/>
      <c r="D75"/>
      <c r="E75"/>
      <c r="F75"/>
      <c r="G75"/>
      <c r="H75"/>
      <c r="I75"/>
      <c r="J75"/>
      <c r="K75"/>
    </row>
    <row r="76" spans="1:11" s="19" customFormat="1">
      <c r="A76" s="4"/>
      <c r="B76"/>
      <c r="C76"/>
      <c r="D76"/>
      <c r="E76"/>
      <c r="F76"/>
      <c r="G76"/>
      <c r="H76"/>
      <c r="I76"/>
      <c r="J76"/>
      <c r="K76"/>
    </row>
    <row r="77" spans="1:11" s="19" customFormat="1">
      <c r="A77" s="4"/>
      <c r="B77"/>
      <c r="C77"/>
      <c r="D77"/>
      <c r="E77"/>
      <c r="F77"/>
      <c r="G77"/>
      <c r="H77"/>
      <c r="I77"/>
      <c r="J77"/>
      <c r="K77"/>
    </row>
    <row r="78" spans="1:11" s="19" customFormat="1">
      <c r="A78" s="4"/>
      <c r="B78"/>
      <c r="C78"/>
      <c r="D78"/>
      <c r="E78"/>
      <c r="F78"/>
      <c r="G78"/>
      <c r="H78"/>
      <c r="I78"/>
      <c r="J78"/>
      <c r="K78"/>
    </row>
    <row r="79" spans="1:11" s="19" customFormat="1">
      <c r="A79" s="4"/>
      <c r="B79"/>
      <c r="C79"/>
      <c r="D79"/>
      <c r="E79"/>
      <c r="F79"/>
      <c r="G79"/>
      <c r="H79"/>
      <c r="I79"/>
      <c r="J79"/>
      <c r="K79"/>
    </row>
    <row r="80" spans="1:11" s="19" customFormat="1">
      <c r="A80" s="4"/>
      <c r="B80"/>
      <c r="C80"/>
      <c r="D80"/>
      <c r="E80"/>
      <c r="F80"/>
      <c r="G80"/>
      <c r="H80"/>
      <c r="I80"/>
      <c r="J80"/>
      <c r="K80"/>
    </row>
    <row r="81" spans="1:11" s="19" customFormat="1">
      <c r="A81" s="4"/>
      <c r="B81"/>
      <c r="C81"/>
      <c r="D81"/>
      <c r="E81"/>
      <c r="F81"/>
      <c r="G81"/>
      <c r="H81"/>
      <c r="I81"/>
      <c r="J81"/>
      <c r="K81"/>
    </row>
    <row r="82" spans="1:11" s="19" customFormat="1">
      <c r="A82" s="4"/>
      <c r="B82"/>
      <c r="C82"/>
      <c r="D82"/>
      <c r="E82"/>
      <c r="F82"/>
      <c r="G82"/>
      <c r="H82"/>
      <c r="I82"/>
      <c r="J82"/>
      <c r="K82"/>
    </row>
    <row r="83" spans="1:11" s="19" customFormat="1">
      <c r="A83" s="4"/>
      <c r="B83"/>
      <c r="C83"/>
      <c r="D83"/>
      <c r="E83"/>
      <c r="F83"/>
      <c r="G83"/>
      <c r="H83"/>
      <c r="I83"/>
      <c r="J83"/>
      <c r="K83"/>
    </row>
    <row r="84" spans="1:11" s="19" customFormat="1">
      <c r="A84" s="4"/>
      <c r="B84"/>
      <c r="C84"/>
      <c r="D84"/>
      <c r="E84"/>
      <c r="F84"/>
      <c r="G84"/>
      <c r="H84"/>
      <c r="I84"/>
      <c r="J84"/>
      <c r="K84"/>
    </row>
    <row r="85" spans="1:11" s="19" customFormat="1">
      <c r="A85" s="4"/>
      <c r="B85"/>
      <c r="C85"/>
      <c r="D85"/>
      <c r="E85"/>
      <c r="F85"/>
      <c r="G85"/>
      <c r="H85"/>
      <c r="I85"/>
      <c r="J85"/>
      <c r="K85"/>
    </row>
    <row r="86" spans="1:11" s="19" customFormat="1">
      <c r="A86" s="4"/>
      <c r="B86"/>
      <c r="C86"/>
      <c r="D86"/>
      <c r="E86"/>
      <c r="F86"/>
      <c r="G86"/>
      <c r="H86"/>
      <c r="I86"/>
      <c r="J86"/>
      <c r="K86"/>
    </row>
    <row r="87" spans="1:11" s="19" customFormat="1">
      <c r="A87" s="4"/>
      <c r="B87"/>
      <c r="C87"/>
      <c r="D87"/>
      <c r="E87"/>
      <c r="F87"/>
      <c r="G87"/>
      <c r="H87"/>
      <c r="I87"/>
      <c r="J87"/>
      <c r="K87"/>
    </row>
    <row r="88" spans="1:11" s="19" customFormat="1">
      <c r="A88" s="4"/>
      <c r="B88"/>
      <c r="C88"/>
      <c r="D88"/>
      <c r="E88"/>
      <c r="F88"/>
      <c r="G88"/>
      <c r="H88"/>
      <c r="I88"/>
      <c r="J88"/>
      <c r="K88"/>
    </row>
    <row r="89" spans="1:11" s="19" customFormat="1">
      <c r="A89" s="4"/>
      <c r="B89"/>
      <c r="C89"/>
      <c r="D89"/>
      <c r="E89"/>
      <c r="F89"/>
      <c r="G89"/>
      <c r="H89"/>
      <c r="I89"/>
      <c r="J89"/>
      <c r="K89"/>
    </row>
    <row r="90" spans="1:11" s="19" customFormat="1">
      <c r="A90" s="4"/>
      <c r="B90"/>
      <c r="C90"/>
      <c r="D90"/>
      <c r="E90"/>
      <c r="F90"/>
      <c r="G90"/>
      <c r="H90"/>
      <c r="I90"/>
      <c r="J90"/>
      <c r="K90"/>
    </row>
    <row r="91" spans="1:11" s="19" customFormat="1">
      <c r="A91" s="4"/>
      <c r="B91"/>
      <c r="C91"/>
      <c r="D91"/>
      <c r="E91"/>
      <c r="F91"/>
      <c r="G91"/>
      <c r="H91"/>
      <c r="I91"/>
      <c r="J91"/>
      <c r="K91"/>
    </row>
    <row r="92" spans="1:11" s="19" customFormat="1">
      <c r="A92" s="4"/>
      <c r="B92"/>
      <c r="C92"/>
      <c r="D92"/>
      <c r="E92"/>
      <c r="F92"/>
      <c r="G92"/>
      <c r="H92"/>
      <c r="I92"/>
      <c r="J92"/>
      <c r="K92"/>
    </row>
    <row r="93" spans="1:11" s="19" customFormat="1">
      <c r="A93" s="4"/>
      <c r="B93"/>
      <c r="C93"/>
      <c r="D93"/>
      <c r="E93"/>
      <c r="F93"/>
      <c r="G93"/>
      <c r="H93"/>
      <c r="I93"/>
      <c r="J93"/>
      <c r="K93"/>
    </row>
    <row r="94" spans="1:11" s="19" customFormat="1">
      <c r="A94" s="4"/>
      <c r="B94"/>
      <c r="C94"/>
      <c r="D94"/>
      <c r="E94"/>
      <c r="F94"/>
      <c r="G94"/>
      <c r="H94"/>
      <c r="I94"/>
      <c r="J94"/>
      <c r="K94"/>
    </row>
    <row r="95" spans="1:11" s="19" customFormat="1">
      <c r="A95" s="4"/>
      <c r="B95"/>
      <c r="C95"/>
      <c r="D95"/>
      <c r="E95"/>
      <c r="F95"/>
      <c r="G95"/>
      <c r="H95"/>
      <c r="I95"/>
      <c r="J95"/>
      <c r="K95"/>
    </row>
    <row r="96" spans="1:11" s="19" customFormat="1">
      <c r="A96" s="4"/>
      <c r="B96"/>
      <c r="C96"/>
      <c r="D96"/>
      <c r="E96"/>
      <c r="F96"/>
      <c r="G96"/>
      <c r="H96"/>
      <c r="I96"/>
      <c r="J96"/>
      <c r="K96"/>
    </row>
    <row r="97" spans="1:11" s="19" customFormat="1">
      <c r="A97" s="4"/>
      <c r="B97"/>
      <c r="C97"/>
      <c r="D97"/>
      <c r="E97"/>
      <c r="F97"/>
      <c r="G97"/>
      <c r="H97"/>
      <c r="I97"/>
      <c r="J97"/>
      <c r="K97"/>
    </row>
    <row r="98" spans="1:11" s="19" customFormat="1">
      <c r="A98" s="4"/>
      <c r="B98"/>
      <c r="C98"/>
      <c r="D98"/>
      <c r="E98"/>
      <c r="F98"/>
      <c r="G98"/>
      <c r="H98"/>
      <c r="I98"/>
      <c r="J98"/>
      <c r="K98"/>
    </row>
    <row r="99" spans="1:11" s="19" customFormat="1">
      <c r="A99" s="4"/>
      <c r="B99"/>
      <c r="C99"/>
      <c r="D99"/>
      <c r="E99"/>
      <c r="F99"/>
      <c r="G99"/>
      <c r="H99"/>
      <c r="I99"/>
      <c r="J99"/>
      <c r="K99"/>
    </row>
    <row r="100" spans="1:11" s="19" customFormat="1">
      <c r="A100" s="4"/>
      <c r="B100"/>
      <c r="C100"/>
      <c r="D100"/>
      <c r="E100"/>
      <c r="F100"/>
      <c r="G100"/>
      <c r="H100"/>
      <c r="I100"/>
      <c r="J100"/>
      <c r="K100"/>
    </row>
    <row r="101" spans="1:11" s="19" customFormat="1">
      <c r="A101" s="4"/>
      <c r="B101"/>
      <c r="C101"/>
      <c r="D101"/>
      <c r="E101"/>
      <c r="F101"/>
      <c r="G101"/>
      <c r="H101"/>
      <c r="I101"/>
      <c r="J101"/>
      <c r="K101"/>
    </row>
    <row r="102" spans="1:11" s="19" customFormat="1">
      <c r="A102" s="4"/>
      <c r="B102"/>
      <c r="C102"/>
      <c r="D102"/>
      <c r="E102"/>
      <c r="F102"/>
      <c r="G102"/>
      <c r="H102"/>
      <c r="I102"/>
      <c r="J102"/>
      <c r="K102"/>
    </row>
    <row r="103" spans="1:11" s="19" customFormat="1">
      <c r="A103" s="4"/>
      <c r="B103"/>
      <c r="C103"/>
      <c r="D103"/>
      <c r="E103"/>
      <c r="F103"/>
      <c r="G103"/>
      <c r="H103"/>
      <c r="I103"/>
      <c r="J103"/>
      <c r="K103"/>
    </row>
    <row r="104" spans="1:11" s="19" customFormat="1">
      <c r="A104" s="4"/>
      <c r="B104"/>
      <c r="C104"/>
      <c r="D104"/>
      <c r="E104"/>
      <c r="F104"/>
      <c r="G104"/>
      <c r="H104"/>
      <c r="I104"/>
      <c r="J104"/>
      <c r="K104"/>
    </row>
    <row r="105" spans="1:11" s="19" customFormat="1">
      <c r="A105" s="4"/>
      <c r="B105"/>
      <c r="C105"/>
      <c r="D105"/>
      <c r="E105"/>
      <c r="F105"/>
      <c r="G105"/>
      <c r="H105"/>
      <c r="I105"/>
      <c r="J105"/>
      <c r="K105"/>
    </row>
    <row r="106" spans="1:11" s="19" customFormat="1">
      <c r="A106" s="4"/>
      <c r="B106"/>
      <c r="C106"/>
      <c r="D106"/>
      <c r="E106"/>
      <c r="F106"/>
      <c r="G106"/>
      <c r="H106"/>
      <c r="I106"/>
      <c r="J106"/>
      <c r="K106"/>
    </row>
    <row r="107" spans="1:11" s="19" customFormat="1">
      <c r="A107" s="4"/>
      <c r="B107"/>
      <c r="C107"/>
      <c r="D107"/>
      <c r="E107"/>
      <c r="F107"/>
      <c r="G107"/>
      <c r="H107"/>
      <c r="I107"/>
      <c r="J107"/>
      <c r="K107"/>
    </row>
    <row r="108" spans="1:11" s="19" customFormat="1">
      <c r="A108" s="4"/>
      <c r="B108"/>
      <c r="C108"/>
      <c r="D108"/>
      <c r="E108"/>
      <c r="F108"/>
      <c r="G108"/>
      <c r="H108"/>
      <c r="I108"/>
      <c r="J108"/>
      <c r="K108"/>
    </row>
    <row r="109" spans="1:11" s="19" customFormat="1">
      <c r="A109" s="4"/>
      <c r="B109"/>
      <c r="C109"/>
      <c r="D109"/>
      <c r="E109"/>
      <c r="F109"/>
      <c r="G109"/>
      <c r="H109"/>
      <c r="I109"/>
      <c r="J109"/>
      <c r="K109"/>
    </row>
    <row r="110" spans="1:11" s="19" customFormat="1">
      <c r="A110" s="4"/>
      <c r="B110"/>
      <c r="C110"/>
      <c r="D110"/>
      <c r="E110"/>
      <c r="F110"/>
      <c r="G110"/>
      <c r="H110"/>
      <c r="I110"/>
      <c r="J110"/>
      <c r="K110"/>
    </row>
    <row r="111" spans="1:11" s="19" customFormat="1">
      <c r="A111" s="4"/>
      <c r="B111"/>
      <c r="C111"/>
      <c r="D111"/>
      <c r="E111"/>
      <c r="F111"/>
      <c r="G111"/>
      <c r="H111"/>
      <c r="I111"/>
      <c r="J111"/>
      <c r="K111"/>
    </row>
    <row r="112" spans="1:11" s="19" customFormat="1">
      <c r="A112" s="4"/>
      <c r="B112"/>
      <c r="C112"/>
      <c r="D112"/>
      <c r="E112"/>
      <c r="F112"/>
      <c r="G112"/>
      <c r="H112"/>
      <c r="I112"/>
      <c r="J112"/>
      <c r="K112"/>
    </row>
    <row r="113" spans="1:11" s="19" customFormat="1">
      <c r="A113" s="4"/>
      <c r="B113"/>
      <c r="C113"/>
      <c r="D113"/>
      <c r="E113"/>
      <c r="F113"/>
      <c r="G113"/>
      <c r="H113"/>
      <c r="I113"/>
      <c r="J113"/>
      <c r="K113"/>
    </row>
    <row r="114" spans="1:11" s="19" customFormat="1">
      <c r="A114" s="4"/>
      <c r="B114"/>
      <c r="C114"/>
      <c r="D114"/>
      <c r="E114"/>
      <c r="F114"/>
      <c r="G114"/>
      <c r="H114"/>
      <c r="I114"/>
      <c r="J114"/>
      <c r="K114"/>
    </row>
    <row r="115" spans="1:11" s="19" customFormat="1">
      <c r="A115" s="4"/>
      <c r="B115"/>
      <c r="C115"/>
      <c r="D115"/>
      <c r="E115"/>
      <c r="F115"/>
      <c r="G115"/>
      <c r="H115"/>
      <c r="I115"/>
      <c r="J115"/>
      <c r="K115"/>
    </row>
    <row r="116" spans="1:11" s="19" customFormat="1">
      <c r="A116" s="4"/>
      <c r="B116"/>
      <c r="C116"/>
      <c r="D116"/>
      <c r="E116"/>
      <c r="F116"/>
      <c r="G116"/>
      <c r="H116"/>
      <c r="I116"/>
      <c r="J116"/>
      <c r="K116"/>
    </row>
    <row r="117" spans="1:11" s="19" customFormat="1">
      <c r="A117" s="4"/>
      <c r="B117"/>
      <c r="C117"/>
      <c r="D117"/>
      <c r="E117"/>
      <c r="F117"/>
      <c r="G117"/>
      <c r="H117"/>
      <c r="I117"/>
      <c r="J117"/>
      <c r="K117"/>
    </row>
    <row r="118" spans="1:11" s="19" customFormat="1">
      <c r="A118" s="4"/>
      <c r="B118"/>
      <c r="C118"/>
      <c r="D118"/>
      <c r="E118"/>
      <c r="F118"/>
      <c r="G118"/>
      <c r="H118"/>
      <c r="I118"/>
      <c r="J118"/>
      <c r="K118"/>
    </row>
    <row r="119" spans="1:11" s="19" customFormat="1">
      <c r="A119" s="4"/>
      <c r="B119"/>
      <c r="C119"/>
      <c r="D119"/>
      <c r="E119"/>
      <c r="F119"/>
      <c r="G119"/>
      <c r="H119"/>
      <c r="I119"/>
      <c r="J119"/>
      <c r="K119"/>
    </row>
    <row r="120" spans="1:11" s="19" customFormat="1">
      <c r="A120" s="4"/>
      <c r="B120"/>
      <c r="C120"/>
      <c r="D120"/>
      <c r="E120"/>
      <c r="F120"/>
      <c r="G120"/>
      <c r="H120"/>
      <c r="I120"/>
      <c r="J120"/>
      <c r="K120"/>
    </row>
    <row r="121" spans="1:11" s="19" customFormat="1">
      <c r="A121" s="4"/>
      <c r="B121"/>
      <c r="C121"/>
      <c r="D121"/>
      <c r="E121"/>
      <c r="F121"/>
      <c r="G121"/>
      <c r="H121"/>
      <c r="I121"/>
      <c r="J121"/>
      <c r="K121"/>
    </row>
    <row r="122" spans="1:11" s="19" customFormat="1">
      <c r="A122" s="4"/>
      <c r="B122"/>
      <c r="C122"/>
      <c r="D122"/>
      <c r="E122"/>
      <c r="F122"/>
      <c r="G122"/>
      <c r="H122"/>
      <c r="I122"/>
      <c r="J122"/>
      <c r="K122"/>
    </row>
    <row r="123" spans="1:11" s="19" customFormat="1">
      <c r="A123" s="4"/>
      <c r="B123"/>
      <c r="C123"/>
      <c r="D123"/>
      <c r="E123"/>
      <c r="F123"/>
      <c r="G123"/>
      <c r="H123"/>
      <c r="I123"/>
      <c r="J123"/>
      <c r="K123"/>
    </row>
    <row r="124" spans="1:11" s="19" customFormat="1">
      <c r="A124" s="4"/>
      <c r="B124"/>
      <c r="C124"/>
      <c r="D124"/>
      <c r="E124"/>
      <c r="F124"/>
      <c r="G124"/>
      <c r="H124"/>
      <c r="I124"/>
      <c r="J124"/>
      <c r="K124"/>
    </row>
    <row r="125" spans="1:11" s="19" customFormat="1">
      <c r="A125" s="4"/>
      <c r="B125"/>
      <c r="C125"/>
      <c r="D125"/>
      <c r="E125"/>
      <c r="F125"/>
      <c r="G125"/>
      <c r="H125"/>
      <c r="I125"/>
      <c r="J125"/>
      <c r="K125"/>
    </row>
    <row r="126" spans="1:11" s="19" customFormat="1">
      <c r="A126" s="4"/>
      <c r="B126"/>
      <c r="C126"/>
      <c r="D126"/>
      <c r="E126"/>
      <c r="F126"/>
      <c r="G126"/>
      <c r="H126"/>
      <c r="I126"/>
      <c r="J126"/>
      <c r="K126"/>
    </row>
    <row r="127" spans="1:11" s="19" customFormat="1">
      <c r="A127" s="4"/>
      <c r="B127"/>
      <c r="C127"/>
      <c r="D127"/>
      <c r="E127"/>
      <c r="F127"/>
      <c r="G127"/>
      <c r="H127"/>
      <c r="I127"/>
      <c r="J127"/>
      <c r="K127"/>
    </row>
    <row r="128" spans="1:11" s="19" customFormat="1">
      <c r="A128" s="4"/>
      <c r="B128"/>
      <c r="C128"/>
      <c r="D128"/>
      <c r="E128"/>
      <c r="F128"/>
      <c r="G128"/>
      <c r="H128"/>
      <c r="I128"/>
      <c r="J128"/>
      <c r="K128"/>
    </row>
    <row r="129" spans="1:11" s="19" customFormat="1">
      <c r="A129" s="4"/>
      <c r="B129"/>
      <c r="C129"/>
      <c r="D129"/>
      <c r="E129"/>
      <c r="F129"/>
      <c r="G129"/>
      <c r="H129"/>
      <c r="I129"/>
      <c r="J129"/>
      <c r="K129"/>
    </row>
    <row r="130" spans="1:11" s="19" customFormat="1">
      <c r="A130" s="4"/>
      <c r="B130"/>
      <c r="C130"/>
      <c r="D130"/>
      <c r="E130"/>
      <c r="F130"/>
      <c r="G130"/>
      <c r="H130"/>
      <c r="I130"/>
      <c r="J130"/>
      <c r="K130"/>
    </row>
    <row r="131" spans="1:11" s="19" customFormat="1">
      <c r="A131" s="4"/>
      <c r="B131"/>
      <c r="C131"/>
      <c r="D131"/>
      <c r="E131"/>
      <c r="F131"/>
      <c r="G131"/>
      <c r="H131"/>
      <c r="I131"/>
      <c r="J131"/>
      <c r="K131"/>
    </row>
    <row r="132" spans="1:11" s="19" customFormat="1">
      <c r="A132" s="4"/>
      <c r="B132"/>
      <c r="C132"/>
      <c r="D132"/>
      <c r="E132"/>
      <c r="F132"/>
      <c r="G132"/>
      <c r="H132"/>
      <c r="I132"/>
      <c r="J132"/>
      <c r="K132"/>
    </row>
    <row r="133" spans="1:11" s="19" customFormat="1">
      <c r="A133" s="4"/>
      <c r="B133"/>
      <c r="C133"/>
      <c r="D133"/>
      <c r="E133"/>
      <c r="F133"/>
      <c r="G133"/>
      <c r="H133"/>
      <c r="I133"/>
      <c r="J133"/>
      <c r="K133"/>
    </row>
    <row r="134" spans="1:11" s="19" customFormat="1">
      <c r="A134" s="4"/>
      <c r="B134"/>
      <c r="C134"/>
      <c r="D134"/>
      <c r="E134"/>
      <c r="F134"/>
      <c r="G134"/>
      <c r="H134"/>
      <c r="I134"/>
      <c r="J134"/>
      <c r="K134"/>
    </row>
    <row r="135" spans="1:11" s="19" customFormat="1">
      <c r="A135" s="4"/>
      <c r="B135"/>
      <c r="C135"/>
      <c r="D135"/>
      <c r="E135"/>
      <c r="F135"/>
      <c r="G135"/>
      <c r="H135"/>
      <c r="I135"/>
      <c r="J135"/>
      <c r="K135"/>
    </row>
    <row r="136" spans="1:11" s="19" customFormat="1">
      <c r="A136" s="4"/>
      <c r="B136"/>
      <c r="C136"/>
      <c r="D136"/>
      <c r="E136"/>
      <c r="F136"/>
      <c r="G136"/>
      <c r="H136"/>
      <c r="I136"/>
      <c r="J136"/>
      <c r="K136"/>
    </row>
    <row r="137" spans="1:11" s="19" customFormat="1">
      <c r="A137" s="4"/>
      <c r="B137"/>
      <c r="C137"/>
      <c r="D137"/>
      <c r="E137"/>
      <c r="F137"/>
      <c r="G137"/>
      <c r="H137"/>
      <c r="I137"/>
      <c r="J137"/>
      <c r="K137"/>
    </row>
    <row r="138" spans="1:11" s="19" customFormat="1">
      <c r="A138" s="4"/>
      <c r="B138"/>
      <c r="C138"/>
      <c r="D138"/>
      <c r="E138"/>
      <c r="F138"/>
      <c r="G138"/>
      <c r="H138"/>
      <c r="I138"/>
      <c r="J138"/>
      <c r="K138"/>
    </row>
    <row r="139" spans="1:11" s="19" customFormat="1">
      <c r="A139" s="4"/>
      <c r="B139"/>
      <c r="C139"/>
      <c r="D139"/>
      <c r="E139"/>
      <c r="F139"/>
      <c r="G139"/>
      <c r="H139"/>
      <c r="I139"/>
      <c r="J139"/>
      <c r="K139"/>
    </row>
    <row r="140" spans="1:11" s="19" customFormat="1">
      <c r="A140" s="4"/>
      <c r="B140"/>
      <c r="C140"/>
      <c r="D140"/>
      <c r="E140"/>
      <c r="F140"/>
      <c r="G140"/>
      <c r="H140"/>
      <c r="I140"/>
      <c r="J140"/>
      <c r="K140"/>
    </row>
    <row r="141" spans="1:11" s="19" customFormat="1">
      <c r="A141" s="4"/>
      <c r="B141"/>
      <c r="C141"/>
      <c r="D141"/>
      <c r="E141"/>
      <c r="F141"/>
      <c r="G141"/>
      <c r="H141"/>
      <c r="I141"/>
      <c r="J141"/>
      <c r="K141"/>
    </row>
    <row r="142" spans="1:11" s="19" customFormat="1">
      <c r="A142" s="4"/>
      <c r="B142"/>
      <c r="C142"/>
      <c r="D142"/>
      <c r="E142"/>
      <c r="F142"/>
      <c r="G142"/>
      <c r="H142"/>
      <c r="I142"/>
      <c r="J142"/>
      <c r="K142"/>
    </row>
    <row r="143" spans="1:11" s="19" customFormat="1">
      <c r="A143" s="4"/>
      <c r="B143"/>
      <c r="C143"/>
      <c r="D143"/>
      <c r="E143"/>
      <c r="F143"/>
      <c r="G143"/>
      <c r="H143"/>
      <c r="I143"/>
      <c r="J143"/>
      <c r="K143"/>
    </row>
    <row r="144" spans="1:11" s="19" customFormat="1">
      <c r="A144" s="4"/>
      <c r="B144"/>
      <c r="C144"/>
      <c r="D144"/>
      <c r="E144"/>
      <c r="F144"/>
      <c r="G144"/>
      <c r="H144"/>
      <c r="I144"/>
      <c r="J144"/>
      <c r="K144"/>
    </row>
    <row r="145" spans="1:11" s="19" customFormat="1">
      <c r="A145" s="4"/>
      <c r="B145"/>
      <c r="C145"/>
      <c r="D145"/>
      <c r="E145"/>
      <c r="F145"/>
      <c r="G145"/>
      <c r="H145"/>
      <c r="I145"/>
      <c r="J145"/>
      <c r="K145"/>
    </row>
    <row r="146" spans="1:11" s="19" customFormat="1">
      <c r="A146" s="4"/>
      <c r="B146"/>
      <c r="C146"/>
      <c r="D146"/>
      <c r="E146"/>
      <c r="F146"/>
      <c r="G146"/>
      <c r="H146"/>
      <c r="I146"/>
      <c r="J146"/>
      <c r="K146"/>
    </row>
    <row r="147" spans="1:11" s="19" customFormat="1">
      <c r="A147" s="4"/>
      <c r="B147"/>
      <c r="C147"/>
      <c r="D147"/>
      <c r="E147"/>
      <c r="F147"/>
      <c r="G147"/>
      <c r="H147"/>
      <c r="I147"/>
      <c r="J147"/>
      <c r="K147"/>
    </row>
    <row r="148" spans="1:11" s="19" customFormat="1">
      <c r="A148" s="4"/>
      <c r="B148"/>
      <c r="C148"/>
      <c r="D148"/>
      <c r="E148"/>
      <c r="F148"/>
      <c r="G148"/>
      <c r="H148"/>
      <c r="I148"/>
      <c r="J148"/>
      <c r="K148"/>
    </row>
    <row r="149" spans="1:11" s="19" customFormat="1">
      <c r="A149" s="4"/>
      <c r="B149"/>
      <c r="C149"/>
      <c r="D149"/>
      <c r="E149"/>
      <c r="F149"/>
      <c r="G149"/>
      <c r="H149"/>
      <c r="I149"/>
      <c r="J149"/>
      <c r="K149"/>
    </row>
    <row r="150" spans="1:11" s="19" customFormat="1">
      <c r="A150" s="4"/>
      <c r="B150"/>
      <c r="C150"/>
      <c r="D150"/>
      <c r="E150"/>
      <c r="F150"/>
      <c r="G150"/>
      <c r="H150"/>
      <c r="I150"/>
      <c r="J150"/>
      <c r="K150"/>
    </row>
    <row r="151" spans="1:11" s="19" customFormat="1">
      <c r="A151" s="4"/>
      <c r="B151"/>
      <c r="C151"/>
      <c r="D151"/>
      <c r="E151"/>
      <c r="F151"/>
      <c r="G151"/>
      <c r="H151"/>
      <c r="I151"/>
      <c r="J151"/>
      <c r="K151"/>
    </row>
    <row r="152" spans="1:11" s="19" customFormat="1">
      <c r="A152" s="4"/>
      <c r="B152"/>
      <c r="C152"/>
      <c r="D152"/>
      <c r="E152"/>
      <c r="F152"/>
      <c r="G152"/>
      <c r="H152"/>
      <c r="I152"/>
      <c r="J152"/>
      <c r="K152"/>
    </row>
    <row r="153" spans="1:11" s="19" customFormat="1">
      <c r="A153" s="4"/>
      <c r="B153"/>
      <c r="C153"/>
      <c r="D153"/>
      <c r="E153"/>
      <c r="F153"/>
      <c r="G153"/>
      <c r="H153"/>
      <c r="I153"/>
      <c r="J153"/>
      <c r="K153"/>
    </row>
    <row r="154" spans="1:11" s="19" customFormat="1">
      <c r="A154" s="4"/>
      <c r="B154"/>
      <c r="C154"/>
      <c r="D154"/>
      <c r="E154"/>
      <c r="F154"/>
      <c r="G154"/>
      <c r="H154"/>
      <c r="I154"/>
      <c r="J154"/>
      <c r="K154"/>
    </row>
    <row r="155" spans="1:11" s="19" customFormat="1">
      <c r="A155" s="4"/>
      <c r="B155"/>
      <c r="C155"/>
      <c r="D155"/>
      <c r="E155"/>
      <c r="F155"/>
      <c r="G155"/>
      <c r="H155"/>
      <c r="I155"/>
      <c r="J155"/>
      <c r="K155"/>
    </row>
    <row r="156" spans="1:11" s="19" customFormat="1">
      <c r="A156" s="4"/>
      <c r="B156"/>
      <c r="C156"/>
      <c r="D156"/>
      <c r="E156"/>
      <c r="F156"/>
      <c r="G156"/>
      <c r="H156"/>
      <c r="I156"/>
      <c r="J156"/>
      <c r="K156"/>
    </row>
    <row r="157" spans="1:11" s="19" customFormat="1">
      <c r="A157" s="4"/>
      <c r="B157"/>
      <c r="C157"/>
      <c r="D157"/>
      <c r="E157"/>
      <c r="F157"/>
      <c r="G157"/>
      <c r="H157"/>
      <c r="I157"/>
      <c r="J157"/>
      <c r="K157"/>
    </row>
    <row r="158" spans="1:11" s="19" customFormat="1">
      <c r="A158" s="4"/>
      <c r="B158"/>
      <c r="C158"/>
      <c r="D158"/>
      <c r="E158"/>
      <c r="F158"/>
      <c r="G158"/>
      <c r="H158"/>
      <c r="I158"/>
      <c r="J158"/>
      <c r="K158"/>
    </row>
    <row r="159" spans="1:11" s="19" customFormat="1">
      <c r="A159" s="4"/>
      <c r="B159"/>
      <c r="C159"/>
      <c r="D159"/>
      <c r="E159"/>
      <c r="F159"/>
      <c r="G159"/>
      <c r="H159"/>
      <c r="I159"/>
      <c r="J159"/>
      <c r="K159"/>
    </row>
    <row r="160" spans="1:11" s="19" customFormat="1">
      <c r="A160" s="4"/>
      <c r="B160"/>
      <c r="C160"/>
      <c r="D160"/>
      <c r="E160"/>
      <c r="F160"/>
      <c r="G160"/>
      <c r="H160"/>
      <c r="I160"/>
      <c r="J160"/>
      <c r="K160"/>
    </row>
    <row r="161" spans="1:11" s="19" customFormat="1">
      <c r="A161" s="4"/>
      <c r="B161"/>
      <c r="C161"/>
      <c r="D161"/>
      <c r="E161"/>
      <c r="F161"/>
      <c r="G161"/>
      <c r="H161"/>
      <c r="I161"/>
      <c r="J161"/>
      <c r="K161"/>
    </row>
    <row r="162" spans="1:11" s="19" customFormat="1">
      <c r="A162" s="4"/>
      <c r="B162"/>
      <c r="C162"/>
      <c r="D162"/>
      <c r="E162"/>
      <c r="F162"/>
      <c r="G162"/>
      <c r="H162"/>
      <c r="I162"/>
      <c r="J162"/>
      <c r="K162"/>
    </row>
    <row r="163" spans="1:11" s="19" customFormat="1">
      <c r="A163" s="4"/>
      <c r="B163"/>
      <c r="C163"/>
      <c r="D163"/>
      <c r="E163"/>
      <c r="F163"/>
      <c r="G163"/>
      <c r="H163"/>
      <c r="I163"/>
      <c r="J163"/>
      <c r="K163"/>
    </row>
    <row r="164" spans="1:11" s="19" customFormat="1">
      <c r="A164" s="4"/>
      <c r="B164"/>
      <c r="C164"/>
      <c r="D164"/>
      <c r="E164"/>
      <c r="F164"/>
      <c r="G164"/>
      <c r="H164"/>
      <c r="I164"/>
      <c r="J164"/>
      <c r="K164"/>
    </row>
    <row r="165" spans="1:11" s="19" customFormat="1">
      <c r="A165" s="4"/>
      <c r="B165"/>
      <c r="C165"/>
      <c r="D165"/>
      <c r="E165"/>
      <c r="F165"/>
      <c r="G165"/>
      <c r="H165"/>
      <c r="I165"/>
      <c r="J165"/>
      <c r="K165"/>
    </row>
    <row r="166" spans="1:11" s="19" customFormat="1">
      <c r="A166" s="4"/>
      <c r="B166"/>
      <c r="C166"/>
      <c r="D166"/>
      <c r="E166"/>
      <c r="F166"/>
      <c r="G166"/>
      <c r="H166"/>
      <c r="I166"/>
      <c r="J166"/>
      <c r="K166"/>
    </row>
    <row r="167" spans="1:11" s="19" customFormat="1">
      <c r="A167" s="4"/>
      <c r="B167"/>
      <c r="C167"/>
      <c r="D167"/>
      <c r="E167"/>
      <c r="F167"/>
      <c r="G167"/>
      <c r="H167"/>
      <c r="I167"/>
      <c r="J167"/>
      <c r="K167"/>
    </row>
    <row r="168" spans="1:11" s="19" customFormat="1">
      <c r="A168" s="4"/>
      <c r="B168"/>
      <c r="C168"/>
      <c r="D168"/>
      <c r="E168"/>
      <c r="F168"/>
      <c r="G168"/>
      <c r="H168"/>
      <c r="I168"/>
      <c r="J168"/>
      <c r="K168"/>
    </row>
    <row r="169" spans="1:11" s="19" customFormat="1">
      <c r="A169" s="4"/>
      <c r="B169"/>
      <c r="C169"/>
      <c r="D169"/>
      <c r="E169"/>
      <c r="F169"/>
      <c r="G169"/>
      <c r="H169"/>
      <c r="I169"/>
      <c r="J169"/>
      <c r="K169"/>
    </row>
    <row r="170" spans="1:11" s="19" customFormat="1">
      <c r="A170" s="4"/>
      <c r="B170"/>
      <c r="C170"/>
      <c r="D170"/>
      <c r="E170"/>
      <c r="F170"/>
      <c r="G170"/>
      <c r="H170"/>
      <c r="I170"/>
      <c r="J170"/>
      <c r="K170"/>
    </row>
    <row r="171" spans="1:11" s="19" customFormat="1">
      <c r="A171" s="4"/>
      <c r="B171"/>
      <c r="C171"/>
      <c r="D171"/>
      <c r="E171"/>
      <c r="F171"/>
      <c r="G171"/>
      <c r="H171"/>
      <c r="I171"/>
      <c r="J171"/>
      <c r="K171"/>
    </row>
    <row r="172" spans="1:11" s="19" customFormat="1">
      <c r="A172" s="4"/>
      <c r="B172"/>
      <c r="C172"/>
      <c r="D172"/>
      <c r="E172"/>
      <c r="F172"/>
      <c r="G172"/>
      <c r="H172"/>
      <c r="I172"/>
      <c r="J172"/>
      <c r="K172"/>
    </row>
    <row r="173" spans="1:11" s="19" customFormat="1">
      <c r="A173" s="4"/>
      <c r="B173"/>
      <c r="C173"/>
      <c r="D173"/>
      <c r="E173"/>
      <c r="F173"/>
      <c r="G173"/>
      <c r="H173"/>
      <c r="I173"/>
      <c r="J173"/>
      <c r="K173"/>
    </row>
    <row r="174" spans="1:11" s="19" customFormat="1">
      <c r="A174" s="4"/>
      <c r="B174"/>
      <c r="C174"/>
      <c r="D174"/>
      <c r="E174"/>
      <c r="F174"/>
      <c r="G174"/>
      <c r="H174"/>
      <c r="I174"/>
      <c r="J174"/>
      <c r="K174"/>
    </row>
    <row r="175" spans="1:11" s="19" customFormat="1">
      <c r="A175" s="4"/>
      <c r="B175"/>
      <c r="C175"/>
      <c r="D175"/>
      <c r="E175"/>
      <c r="F175"/>
      <c r="G175"/>
      <c r="H175"/>
      <c r="I175"/>
      <c r="J175"/>
      <c r="K175"/>
    </row>
    <row r="176" spans="1:11" s="19" customFormat="1">
      <c r="A176" s="4"/>
      <c r="B176"/>
      <c r="C176"/>
      <c r="D176"/>
      <c r="E176"/>
      <c r="F176"/>
      <c r="G176"/>
      <c r="H176"/>
      <c r="I176"/>
      <c r="J176"/>
      <c r="K176"/>
    </row>
    <row r="177" spans="1:11" s="19" customFormat="1">
      <c r="A177" s="4"/>
      <c r="B177"/>
      <c r="C177"/>
      <c r="D177"/>
      <c r="E177"/>
      <c r="F177"/>
      <c r="G177"/>
      <c r="H177"/>
      <c r="I177"/>
      <c r="J177"/>
      <c r="K177"/>
    </row>
    <row r="178" spans="1:11" s="19" customFormat="1">
      <c r="A178" s="4"/>
      <c r="B178"/>
      <c r="C178"/>
      <c r="D178"/>
      <c r="E178"/>
      <c r="F178"/>
      <c r="G178"/>
      <c r="H178"/>
      <c r="I178"/>
      <c r="J178"/>
      <c r="K178"/>
    </row>
    <row r="179" spans="1:11" s="19" customFormat="1">
      <c r="A179" s="4"/>
      <c r="B179"/>
      <c r="C179"/>
      <c r="D179"/>
      <c r="E179"/>
      <c r="F179"/>
      <c r="G179"/>
      <c r="H179"/>
      <c r="I179"/>
      <c r="J179"/>
      <c r="K179"/>
    </row>
    <row r="180" spans="1:11" s="19" customFormat="1">
      <c r="A180" s="4"/>
      <c r="B180"/>
      <c r="C180"/>
      <c r="D180"/>
      <c r="E180"/>
      <c r="F180"/>
      <c r="G180"/>
      <c r="H180"/>
      <c r="I180"/>
      <c r="J180"/>
      <c r="K180"/>
    </row>
    <row r="181" spans="1:11" s="19" customFormat="1">
      <c r="A181" s="4"/>
      <c r="B181"/>
      <c r="C181"/>
      <c r="D181"/>
      <c r="E181"/>
      <c r="F181"/>
      <c r="G181"/>
      <c r="H181"/>
      <c r="I181"/>
      <c r="J181"/>
      <c r="K181"/>
    </row>
    <row r="182" spans="1:11" s="19" customFormat="1">
      <c r="A182" s="4"/>
      <c r="B182"/>
      <c r="C182"/>
      <c r="D182"/>
      <c r="E182"/>
      <c r="F182"/>
      <c r="G182"/>
      <c r="H182"/>
      <c r="I182"/>
      <c r="J182"/>
      <c r="K182"/>
    </row>
    <row r="183" spans="1:11" s="19" customFormat="1">
      <c r="A183" s="4"/>
      <c r="B183"/>
      <c r="C183"/>
      <c r="D183"/>
      <c r="E183"/>
      <c r="F183"/>
      <c r="G183"/>
      <c r="H183"/>
      <c r="I183"/>
      <c r="J183"/>
      <c r="K183"/>
    </row>
    <row r="184" spans="1:11" s="19" customFormat="1">
      <c r="A184" s="4"/>
      <c r="B184"/>
      <c r="C184"/>
      <c r="D184"/>
      <c r="E184"/>
      <c r="F184"/>
      <c r="G184"/>
      <c r="H184"/>
      <c r="I184"/>
      <c r="J184"/>
      <c r="K184"/>
    </row>
    <row r="185" spans="1:11" s="19" customFormat="1">
      <c r="A185" s="4"/>
      <c r="B185"/>
      <c r="C185"/>
      <c r="D185"/>
      <c r="E185"/>
      <c r="F185"/>
      <c r="G185"/>
      <c r="H185"/>
      <c r="I185"/>
      <c r="J185"/>
      <c r="K185"/>
    </row>
    <row r="186" spans="1:11" s="19" customFormat="1">
      <c r="A186" s="4"/>
      <c r="B186"/>
      <c r="C186"/>
      <c r="D186"/>
      <c r="E186"/>
      <c r="F186"/>
      <c r="G186"/>
      <c r="H186"/>
      <c r="I186"/>
      <c r="J186"/>
      <c r="K186"/>
    </row>
    <row r="187" spans="1:11" s="19" customFormat="1">
      <c r="A187" s="4"/>
      <c r="B187"/>
      <c r="C187"/>
      <c r="D187"/>
      <c r="E187"/>
      <c r="F187"/>
      <c r="G187"/>
      <c r="H187"/>
      <c r="I187"/>
      <c r="J187"/>
      <c r="K187"/>
    </row>
    <row r="188" spans="1:11" s="19" customFormat="1">
      <c r="A188" s="4"/>
      <c r="B188"/>
      <c r="C188"/>
      <c r="D188"/>
      <c r="E188"/>
      <c r="F188"/>
      <c r="G188"/>
      <c r="H188"/>
      <c r="I188"/>
      <c r="J188"/>
      <c r="K188"/>
    </row>
    <row r="189" spans="1:11" s="19" customFormat="1">
      <c r="A189" s="4"/>
      <c r="B189"/>
      <c r="C189"/>
      <c r="D189"/>
      <c r="E189"/>
      <c r="F189"/>
      <c r="G189"/>
      <c r="H189"/>
      <c r="I189"/>
      <c r="J189"/>
      <c r="K189"/>
    </row>
    <row r="190" spans="1:11" s="19" customFormat="1">
      <c r="A190" s="4"/>
      <c r="B190"/>
      <c r="C190"/>
      <c r="D190"/>
      <c r="E190"/>
      <c r="F190"/>
      <c r="G190"/>
      <c r="H190"/>
      <c r="I190"/>
      <c r="J190"/>
      <c r="K190"/>
    </row>
    <row r="191" spans="1:11" s="19" customFormat="1">
      <c r="A191" s="4"/>
      <c r="B191"/>
      <c r="C191"/>
      <c r="D191"/>
      <c r="E191"/>
      <c r="F191"/>
      <c r="G191"/>
      <c r="H191"/>
      <c r="I191"/>
      <c r="J191"/>
      <c r="K191"/>
    </row>
    <row r="192" spans="1:11" s="19" customFormat="1">
      <c r="A192" s="4"/>
      <c r="B192"/>
      <c r="C192"/>
      <c r="D192"/>
      <c r="E192"/>
      <c r="F192"/>
      <c r="G192"/>
      <c r="H192"/>
      <c r="I192"/>
      <c r="J192"/>
      <c r="K192"/>
    </row>
    <row r="193" spans="1:11" s="19" customFormat="1">
      <c r="A193" s="4"/>
      <c r="B193"/>
      <c r="C193"/>
      <c r="D193"/>
      <c r="E193"/>
      <c r="F193"/>
      <c r="G193"/>
      <c r="H193"/>
      <c r="I193"/>
      <c r="J193"/>
      <c r="K193"/>
    </row>
    <row r="194" spans="1:11" s="19" customFormat="1">
      <c r="A194" s="4"/>
      <c r="B194"/>
      <c r="C194"/>
      <c r="D194"/>
      <c r="E194"/>
      <c r="F194"/>
      <c r="G194"/>
      <c r="H194"/>
      <c r="I194"/>
      <c r="J194"/>
      <c r="K194"/>
    </row>
    <row r="195" spans="1:11" s="19" customFormat="1">
      <c r="A195" s="4"/>
      <c r="B195"/>
      <c r="C195"/>
      <c r="D195"/>
      <c r="E195"/>
      <c r="F195"/>
      <c r="G195"/>
      <c r="H195"/>
      <c r="I195"/>
      <c r="J195"/>
      <c r="K195"/>
    </row>
    <row r="196" spans="1:11" s="19" customFormat="1">
      <c r="A196" s="4"/>
      <c r="B196"/>
      <c r="C196"/>
      <c r="D196"/>
      <c r="E196"/>
      <c r="F196"/>
      <c r="G196"/>
      <c r="H196"/>
      <c r="I196"/>
      <c r="J196"/>
      <c r="K196"/>
    </row>
    <row r="197" spans="1:11" s="19" customFormat="1">
      <c r="A197" s="4"/>
      <c r="B197"/>
      <c r="C197"/>
      <c r="D197"/>
      <c r="E197"/>
      <c r="F197"/>
      <c r="G197"/>
      <c r="H197"/>
      <c r="I197"/>
      <c r="J197"/>
      <c r="K197"/>
    </row>
    <row r="198" spans="1:11" s="19" customFormat="1">
      <c r="A198" s="4"/>
      <c r="B198"/>
      <c r="C198"/>
      <c r="D198"/>
      <c r="E198"/>
      <c r="F198"/>
      <c r="G198"/>
      <c r="H198"/>
      <c r="I198"/>
      <c r="J198"/>
      <c r="K198"/>
    </row>
    <row r="199" spans="1:11" s="19" customFormat="1">
      <c r="A199" s="4"/>
      <c r="B199"/>
      <c r="C199"/>
      <c r="D199"/>
      <c r="E199"/>
      <c r="F199"/>
      <c r="G199"/>
      <c r="H199"/>
      <c r="I199"/>
      <c r="J199"/>
      <c r="K199"/>
    </row>
    <row r="200" spans="1:11" s="19" customFormat="1">
      <c r="A200" s="4"/>
      <c r="B200"/>
      <c r="C200"/>
      <c r="D200"/>
      <c r="E200"/>
      <c r="F200"/>
      <c r="G200"/>
      <c r="H200"/>
      <c r="I200"/>
      <c r="J200"/>
      <c r="K200"/>
    </row>
    <row r="201" spans="1:11" s="19" customFormat="1">
      <c r="A201" s="4"/>
      <c r="B201"/>
      <c r="C201"/>
      <c r="D201"/>
      <c r="E201"/>
      <c r="F201"/>
      <c r="G201"/>
      <c r="H201"/>
      <c r="I201"/>
      <c r="J201"/>
      <c r="K201"/>
    </row>
    <row r="202" spans="1:11" s="19" customFormat="1">
      <c r="A202" s="4"/>
      <c r="B202"/>
      <c r="C202"/>
      <c r="D202"/>
      <c r="E202"/>
      <c r="F202"/>
      <c r="G202"/>
      <c r="H202"/>
      <c r="I202"/>
      <c r="J202"/>
      <c r="K202"/>
    </row>
    <row r="203" spans="1:11" s="19" customFormat="1">
      <c r="A203" s="4"/>
      <c r="B203"/>
      <c r="C203"/>
      <c r="D203"/>
      <c r="E203"/>
      <c r="F203"/>
      <c r="G203"/>
      <c r="H203"/>
      <c r="I203"/>
      <c r="J203"/>
      <c r="K203"/>
    </row>
    <row r="204" spans="1:11" s="19" customFormat="1">
      <c r="A204" s="4"/>
      <c r="B204"/>
      <c r="C204"/>
      <c r="D204"/>
      <c r="E204"/>
      <c r="F204"/>
      <c r="G204"/>
      <c r="H204"/>
      <c r="I204"/>
      <c r="J204"/>
      <c r="K204"/>
    </row>
    <row r="205" spans="1:11" s="19" customFormat="1">
      <c r="A205" s="4"/>
      <c r="B205"/>
      <c r="C205"/>
      <c r="D205"/>
      <c r="E205"/>
      <c r="F205"/>
      <c r="G205"/>
      <c r="H205"/>
      <c r="I205"/>
      <c r="J205"/>
      <c r="K205"/>
    </row>
    <row r="206" spans="1:11" s="19" customFormat="1">
      <c r="A206" s="4"/>
      <c r="B206"/>
      <c r="C206"/>
      <c r="D206"/>
      <c r="E206"/>
      <c r="F206"/>
      <c r="G206"/>
      <c r="H206"/>
      <c r="I206"/>
      <c r="J206"/>
      <c r="K206"/>
    </row>
    <row r="207" spans="1:11" s="19" customFormat="1">
      <c r="A207" s="4"/>
      <c r="B207"/>
      <c r="C207"/>
      <c r="D207"/>
      <c r="E207"/>
      <c r="F207"/>
      <c r="G207"/>
      <c r="H207"/>
      <c r="I207"/>
      <c r="J207"/>
      <c r="K207"/>
    </row>
    <row r="208" spans="1:11" s="19" customFormat="1">
      <c r="A208" s="4"/>
      <c r="B208"/>
      <c r="C208"/>
      <c r="D208"/>
      <c r="E208"/>
      <c r="F208"/>
      <c r="G208"/>
      <c r="H208"/>
      <c r="I208"/>
      <c r="J208"/>
      <c r="K208"/>
    </row>
    <row r="209" spans="1:11" s="19" customFormat="1">
      <c r="A209" s="4"/>
      <c r="B209"/>
      <c r="C209"/>
      <c r="D209"/>
      <c r="E209"/>
      <c r="F209"/>
      <c r="G209"/>
      <c r="H209"/>
      <c r="I209"/>
      <c r="J209"/>
      <c r="K209"/>
    </row>
    <row r="210" spans="1:11" s="19" customFormat="1">
      <c r="A210" s="4"/>
      <c r="B210"/>
      <c r="C210"/>
      <c r="D210"/>
      <c r="E210"/>
      <c r="F210"/>
      <c r="G210"/>
      <c r="H210"/>
      <c r="I210"/>
      <c r="J210"/>
      <c r="K210"/>
    </row>
    <row r="211" spans="1:11" s="19" customFormat="1">
      <c r="A211" s="4"/>
      <c r="B211"/>
      <c r="C211"/>
      <c r="D211"/>
      <c r="E211"/>
      <c r="F211"/>
      <c r="G211"/>
      <c r="H211"/>
      <c r="I211"/>
      <c r="J211"/>
      <c r="K211"/>
    </row>
    <row r="212" spans="1:11" s="19" customFormat="1">
      <c r="A212" s="4"/>
      <c r="B212"/>
      <c r="C212"/>
      <c r="D212"/>
      <c r="E212"/>
      <c r="F212"/>
      <c r="G212"/>
      <c r="H212"/>
      <c r="I212"/>
      <c r="J212"/>
      <c r="K212"/>
    </row>
    <row r="213" spans="1:11" s="19" customFormat="1">
      <c r="A213" s="4"/>
      <c r="B213"/>
      <c r="C213"/>
      <c r="D213"/>
      <c r="E213"/>
      <c r="F213"/>
      <c r="G213"/>
      <c r="H213"/>
      <c r="I213"/>
      <c r="J213"/>
      <c r="K213"/>
    </row>
    <row r="214" spans="1:11" s="19" customFormat="1">
      <c r="A214" s="4"/>
      <c r="B214"/>
      <c r="C214"/>
      <c r="D214"/>
      <c r="E214"/>
      <c r="F214"/>
      <c r="G214"/>
      <c r="H214"/>
      <c r="I214"/>
      <c r="J214"/>
      <c r="K214"/>
    </row>
    <row r="215" spans="1:11" s="19" customFormat="1">
      <c r="A215" s="4"/>
      <c r="B215"/>
      <c r="C215"/>
      <c r="D215"/>
      <c r="E215"/>
      <c r="F215"/>
      <c r="G215"/>
      <c r="H215"/>
      <c r="I215"/>
      <c r="J215"/>
      <c r="K215"/>
    </row>
    <row r="216" spans="1:11" s="19" customFormat="1">
      <c r="A216" s="4"/>
      <c r="B216"/>
      <c r="C216"/>
      <c r="D216"/>
      <c r="E216"/>
      <c r="F216"/>
      <c r="G216"/>
      <c r="H216"/>
      <c r="I216"/>
      <c r="J216"/>
      <c r="K216"/>
    </row>
    <row r="217" spans="1:11" s="19" customFormat="1">
      <c r="A217" s="4"/>
      <c r="B217"/>
      <c r="C217"/>
      <c r="D217"/>
      <c r="E217"/>
      <c r="F217"/>
      <c r="G217"/>
      <c r="H217"/>
      <c r="I217"/>
      <c r="J217"/>
      <c r="K217"/>
    </row>
    <row r="218" spans="1:11" s="19" customFormat="1">
      <c r="A218" s="4"/>
      <c r="B218"/>
      <c r="C218"/>
      <c r="D218"/>
      <c r="E218"/>
      <c r="F218"/>
      <c r="G218"/>
      <c r="H218"/>
      <c r="I218"/>
      <c r="J218"/>
      <c r="K218"/>
    </row>
    <row r="219" spans="1:11" s="19" customFormat="1">
      <c r="A219" s="4"/>
      <c r="B219"/>
      <c r="C219"/>
      <c r="D219"/>
      <c r="E219"/>
      <c r="F219"/>
      <c r="G219"/>
      <c r="H219"/>
      <c r="I219"/>
      <c r="J219"/>
      <c r="K219"/>
    </row>
    <row r="220" spans="1:11" s="19" customFormat="1">
      <c r="A220" s="4"/>
      <c r="B220"/>
      <c r="C220"/>
      <c r="D220"/>
      <c r="E220"/>
      <c r="F220"/>
      <c r="G220"/>
      <c r="H220"/>
      <c r="I220"/>
      <c r="J220"/>
      <c r="K220"/>
    </row>
    <row r="221" spans="1:11" s="19" customFormat="1">
      <c r="A221" s="4"/>
      <c r="B221"/>
      <c r="C221"/>
      <c r="D221"/>
      <c r="E221"/>
      <c r="F221"/>
      <c r="G221"/>
      <c r="H221"/>
      <c r="I221"/>
      <c r="J221"/>
      <c r="K221"/>
    </row>
    <row r="222" spans="1:11" s="19" customFormat="1">
      <c r="A222" s="4"/>
      <c r="B222"/>
      <c r="C222"/>
      <c r="D222"/>
      <c r="E222"/>
      <c r="F222"/>
      <c r="G222"/>
      <c r="H222"/>
      <c r="I222"/>
      <c r="J222"/>
      <c r="K222"/>
    </row>
    <row r="223" spans="1:11" s="19" customFormat="1">
      <c r="A223" s="4"/>
      <c r="B223"/>
      <c r="C223"/>
      <c r="D223"/>
      <c r="E223"/>
      <c r="F223"/>
      <c r="G223"/>
      <c r="H223"/>
      <c r="I223"/>
      <c r="J223"/>
      <c r="K223"/>
    </row>
    <row r="224" spans="1:11" s="19" customFormat="1">
      <c r="A224" s="4"/>
      <c r="B224"/>
      <c r="C224"/>
      <c r="D224"/>
      <c r="E224"/>
      <c r="F224"/>
      <c r="G224"/>
      <c r="H224"/>
      <c r="I224"/>
      <c r="J224"/>
      <c r="K224"/>
    </row>
    <row r="225" spans="1:11" s="19" customFormat="1">
      <c r="A225" s="4"/>
      <c r="B225"/>
      <c r="C225"/>
      <c r="D225"/>
      <c r="E225"/>
      <c r="F225"/>
      <c r="G225"/>
      <c r="H225"/>
      <c r="I225"/>
      <c r="J225"/>
      <c r="K225"/>
    </row>
    <row r="226" spans="1:11" s="19" customFormat="1">
      <c r="A226" s="4"/>
      <c r="B226"/>
      <c r="C226"/>
      <c r="D226"/>
      <c r="E226"/>
      <c r="F226"/>
      <c r="G226"/>
      <c r="H226"/>
      <c r="I226"/>
      <c r="J226"/>
      <c r="K226"/>
    </row>
    <row r="227" spans="1:11" s="19" customFormat="1">
      <c r="A227" s="4"/>
      <c r="B227"/>
      <c r="C227"/>
      <c r="D227"/>
      <c r="E227"/>
      <c r="F227"/>
      <c r="G227"/>
      <c r="H227"/>
      <c r="I227"/>
      <c r="J227"/>
      <c r="K227"/>
    </row>
    <row r="228" spans="1:11" s="19" customFormat="1">
      <c r="A228" s="4"/>
      <c r="B228"/>
      <c r="C228"/>
      <c r="D228"/>
      <c r="E228"/>
      <c r="F228"/>
      <c r="G228"/>
      <c r="H228"/>
      <c r="I228"/>
      <c r="J228"/>
      <c r="K228"/>
    </row>
    <row r="229" spans="1:11" s="19" customFormat="1">
      <c r="A229" s="4"/>
      <c r="B229"/>
      <c r="C229"/>
      <c r="D229"/>
      <c r="E229"/>
      <c r="F229"/>
      <c r="G229"/>
      <c r="H229"/>
      <c r="I229"/>
      <c r="J229"/>
      <c r="K229"/>
    </row>
    <row r="230" spans="1:11" s="19" customFormat="1">
      <c r="A230" s="4"/>
      <c r="B230"/>
      <c r="C230"/>
      <c r="D230"/>
      <c r="E230"/>
      <c r="F230"/>
      <c r="G230"/>
      <c r="H230"/>
      <c r="I230"/>
      <c r="J230"/>
      <c r="K230"/>
    </row>
    <row r="231" spans="1:11" s="19" customFormat="1">
      <c r="A231" s="4"/>
      <c r="B231"/>
      <c r="C231"/>
      <c r="D231"/>
      <c r="E231"/>
      <c r="F231"/>
      <c r="G231"/>
      <c r="H231"/>
      <c r="I231"/>
      <c r="J231"/>
      <c r="K231"/>
    </row>
    <row r="232" spans="1:11" s="19" customFormat="1">
      <c r="A232" s="4"/>
      <c r="B232"/>
      <c r="C232"/>
      <c r="D232"/>
      <c r="E232"/>
      <c r="F232"/>
      <c r="G232"/>
      <c r="H232"/>
      <c r="I232"/>
      <c r="J232"/>
      <c r="K232"/>
    </row>
    <row r="233" spans="1:11" s="19" customFormat="1">
      <c r="A233" s="4"/>
      <c r="B233"/>
      <c r="C233"/>
      <c r="D233"/>
      <c r="E233"/>
      <c r="F233"/>
      <c r="G233"/>
      <c r="H233"/>
      <c r="I233"/>
      <c r="J233"/>
      <c r="K233"/>
    </row>
    <row r="234" spans="1:11" s="19" customFormat="1">
      <c r="A234" s="4"/>
      <c r="B234"/>
      <c r="C234"/>
      <c r="D234"/>
      <c r="E234"/>
      <c r="F234"/>
      <c r="G234"/>
      <c r="H234"/>
      <c r="I234"/>
      <c r="J234"/>
      <c r="K234"/>
    </row>
    <row r="235" spans="1:11" s="19" customFormat="1">
      <c r="A235" s="4"/>
      <c r="B235"/>
      <c r="C235"/>
      <c r="D235"/>
      <c r="E235"/>
      <c r="F235"/>
      <c r="G235"/>
      <c r="H235"/>
      <c r="I235"/>
      <c r="J235"/>
      <c r="K235"/>
    </row>
    <row r="236" spans="1:11" s="19" customFormat="1">
      <c r="A236" s="4"/>
      <c r="B236"/>
      <c r="C236"/>
      <c r="D236"/>
      <c r="E236"/>
      <c r="F236"/>
      <c r="G236"/>
      <c r="H236"/>
      <c r="I236"/>
      <c r="J236"/>
      <c r="K236"/>
    </row>
    <row r="237" spans="1:11" s="19" customFormat="1">
      <c r="A237" s="4"/>
      <c r="B237"/>
      <c r="C237"/>
      <c r="D237"/>
      <c r="E237"/>
      <c r="F237"/>
      <c r="G237"/>
      <c r="H237"/>
      <c r="I237"/>
      <c r="J237"/>
      <c r="K237"/>
    </row>
    <row r="238" spans="1:11" s="19" customFormat="1">
      <c r="A238" s="4"/>
      <c r="B238"/>
      <c r="C238"/>
      <c r="D238"/>
      <c r="E238"/>
      <c r="F238"/>
      <c r="G238"/>
      <c r="H238"/>
      <c r="I238"/>
      <c r="J238"/>
      <c r="K238"/>
    </row>
    <row r="239" spans="1:11" s="19" customFormat="1">
      <c r="A239" s="4"/>
      <c r="B239"/>
      <c r="C239"/>
      <c r="D239"/>
      <c r="E239"/>
      <c r="F239"/>
      <c r="G239"/>
      <c r="H239"/>
      <c r="I239"/>
      <c r="J239"/>
      <c r="K239"/>
    </row>
    <row r="240" spans="1:11" s="19" customFormat="1">
      <c r="A240" s="4"/>
      <c r="B240"/>
      <c r="C240"/>
      <c r="D240"/>
      <c r="E240"/>
      <c r="F240"/>
      <c r="G240"/>
      <c r="H240"/>
      <c r="I240"/>
      <c r="J240"/>
      <c r="K240"/>
    </row>
    <row r="241" spans="1:11" s="19" customFormat="1">
      <c r="A241" s="4"/>
      <c r="B241"/>
      <c r="C241"/>
      <c r="D241"/>
      <c r="E241"/>
      <c r="F241"/>
      <c r="G241"/>
      <c r="H241"/>
      <c r="I241"/>
      <c r="J241"/>
      <c r="K241"/>
    </row>
    <row r="242" spans="1:11" s="19" customFormat="1">
      <c r="A242" s="4"/>
      <c r="B242"/>
      <c r="C242"/>
      <c r="D242"/>
      <c r="E242"/>
      <c r="F242"/>
      <c r="G242"/>
      <c r="H242"/>
      <c r="I242"/>
      <c r="J242"/>
      <c r="K242"/>
    </row>
    <row r="243" spans="1:11" s="19" customFormat="1">
      <c r="A243" s="4"/>
      <c r="B243"/>
      <c r="C243"/>
      <c r="D243"/>
      <c r="E243"/>
      <c r="F243"/>
      <c r="G243"/>
      <c r="H243"/>
      <c r="I243"/>
      <c r="J243"/>
      <c r="K243"/>
    </row>
    <row r="244" spans="1:11" s="19" customFormat="1">
      <c r="A244" s="4"/>
      <c r="B244"/>
      <c r="C244"/>
      <c r="D244"/>
      <c r="E244"/>
      <c r="F244"/>
      <c r="G244"/>
      <c r="H244"/>
      <c r="I244"/>
      <c r="J244"/>
      <c r="K244"/>
    </row>
    <row r="245" spans="1:11" s="19" customFormat="1">
      <c r="A245" s="4"/>
      <c r="B245"/>
      <c r="C245"/>
      <c r="D245"/>
      <c r="E245"/>
      <c r="F245"/>
      <c r="G245"/>
      <c r="H245"/>
      <c r="I245"/>
      <c r="J245"/>
      <c r="K245"/>
    </row>
    <row r="246" spans="1:11" s="19" customFormat="1">
      <c r="A246" s="4"/>
      <c r="B246"/>
      <c r="C246"/>
      <c r="D246"/>
      <c r="E246"/>
      <c r="F246"/>
      <c r="G246"/>
      <c r="H246"/>
      <c r="I246"/>
      <c r="J246"/>
      <c r="K246"/>
    </row>
    <row r="247" spans="1:11" s="19" customFormat="1">
      <c r="A247" s="4"/>
      <c r="B247"/>
      <c r="C247"/>
      <c r="D247"/>
      <c r="E247"/>
      <c r="F247"/>
      <c r="G247"/>
      <c r="H247"/>
      <c r="I247"/>
      <c r="J247"/>
      <c r="K247"/>
    </row>
    <row r="248" spans="1:11" s="19" customFormat="1">
      <c r="A248" s="4"/>
      <c r="B248"/>
      <c r="C248"/>
      <c r="D248"/>
      <c r="E248"/>
      <c r="F248"/>
      <c r="G248"/>
      <c r="H248"/>
      <c r="I248"/>
      <c r="J248"/>
      <c r="K248"/>
    </row>
    <row r="249" spans="1:11" s="19" customFormat="1">
      <c r="A249" s="4"/>
      <c r="B249"/>
      <c r="C249"/>
      <c r="D249"/>
      <c r="E249"/>
      <c r="F249"/>
      <c r="G249"/>
      <c r="H249"/>
      <c r="I249"/>
      <c r="J249"/>
      <c r="K249"/>
    </row>
    <row r="250" spans="1:11" s="19" customFormat="1">
      <c r="A250" s="4"/>
      <c r="B250"/>
      <c r="C250"/>
      <c r="D250"/>
      <c r="E250"/>
      <c r="F250"/>
      <c r="G250"/>
      <c r="H250"/>
      <c r="I250"/>
      <c r="J250"/>
      <c r="K250"/>
    </row>
    <row r="251" spans="1:11" s="19" customFormat="1">
      <c r="A251" s="4"/>
      <c r="B251"/>
      <c r="C251"/>
      <c r="D251"/>
      <c r="E251"/>
      <c r="F251"/>
      <c r="G251"/>
      <c r="H251"/>
      <c r="I251"/>
      <c r="J251"/>
      <c r="K251"/>
    </row>
    <row r="252" spans="1:11" s="19" customFormat="1">
      <c r="A252" s="4"/>
      <c r="B252"/>
      <c r="C252"/>
      <c r="D252"/>
      <c r="E252"/>
      <c r="F252"/>
      <c r="G252"/>
      <c r="H252"/>
      <c r="I252"/>
      <c r="J252"/>
      <c r="K252"/>
    </row>
    <row r="253" spans="1:11" s="19" customFormat="1">
      <c r="A253" s="4"/>
      <c r="B253"/>
      <c r="C253"/>
      <c r="D253"/>
      <c r="E253"/>
      <c r="F253"/>
      <c r="G253"/>
      <c r="H253"/>
      <c r="I253"/>
      <c r="J253"/>
      <c r="K253"/>
    </row>
    <row r="254" spans="1:11" s="19" customFormat="1">
      <c r="A254" s="4"/>
      <c r="B254"/>
      <c r="C254"/>
      <c r="D254"/>
      <c r="E254"/>
      <c r="F254"/>
      <c r="G254"/>
      <c r="H254"/>
      <c r="I254"/>
      <c r="J254"/>
      <c r="K254"/>
    </row>
    <row r="255" spans="1:11" s="19" customFormat="1">
      <c r="A255" s="4"/>
      <c r="B255"/>
      <c r="C255"/>
      <c r="D255"/>
      <c r="E255"/>
      <c r="F255"/>
      <c r="G255"/>
      <c r="H255"/>
      <c r="I255"/>
      <c r="J255"/>
      <c r="K255"/>
    </row>
    <row r="256" spans="1:11" s="19" customFormat="1">
      <c r="A256" s="4"/>
      <c r="B256"/>
      <c r="C256"/>
      <c r="D256"/>
      <c r="E256"/>
      <c r="F256"/>
      <c r="G256"/>
      <c r="H256"/>
      <c r="I256"/>
      <c r="J256"/>
      <c r="K256"/>
    </row>
    <row r="257" spans="1:11" s="19" customFormat="1">
      <c r="A257" s="4"/>
      <c r="B257"/>
      <c r="C257"/>
      <c r="D257"/>
      <c r="E257"/>
      <c r="F257"/>
      <c r="G257"/>
      <c r="H257"/>
      <c r="I257"/>
      <c r="J257"/>
      <c r="K257"/>
    </row>
    <row r="258" spans="1:11" s="19" customFormat="1">
      <c r="A258" s="4"/>
      <c r="B258"/>
      <c r="C258"/>
      <c r="D258"/>
      <c r="E258"/>
      <c r="F258"/>
      <c r="G258"/>
      <c r="H258"/>
      <c r="I258"/>
      <c r="J258"/>
      <c r="K258"/>
    </row>
    <row r="259" spans="1:11" s="19" customFormat="1">
      <c r="A259" s="4"/>
      <c r="B259"/>
      <c r="C259"/>
      <c r="D259"/>
      <c r="E259"/>
      <c r="F259"/>
      <c r="G259"/>
      <c r="H259"/>
      <c r="I259"/>
      <c r="J259"/>
      <c r="K259"/>
    </row>
    <row r="260" spans="1:11" s="19" customFormat="1">
      <c r="A260" s="4"/>
      <c r="B260"/>
      <c r="C260"/>
      <c r="D260"/>
      <c r="E260"/>
      <c r="F260"/>
      <c r="G260"/>
      <c r="H260"/>
      <c r="I260"/>
      <c r="J260"/>
      <c r="K260"/>
    </row>
    <row r="261" spans="1:11" s="19" customFormat="1">
      <c r="A261" s="4"/>
      <c r="B261"/>
      <c r="C261"/>
      <c r="D261"/>
      <c r="E261"/>
      <c r="F261"/>
      <c r="G261"/>
      <c r="H261"/>
      <c r="I261"/>
      <c r="J261"/>
      <c r="K261"/>
    </row>
    <row r="262" spans="1:11" s="19" customFormat="1">
      <c r="A262" s="4"/>
      <c r="B262"/>
      <c r="C262"/>
      <c r="D262"/>
      <c r="E262"/>
      <c r="F262"/>
      <c r="G262"/>
      <c r="H262"/>
      <c r="I262"/>
      <c r="J262"/>
      <c r="K262"/>
    </row>
    <row r="263" spans="1:11" s="19" customFormat="1">
      <c r="A263" s="4"/>
      <c r="B263"/>
      <c r="C263"/>
      <c r="D263"/>
      <c r="E263"/>
      <c r="F263"/>
      <c r="G263"/>
      <c r="H263"/>
      <c r="I263"/>
      <c r="J263"/>
      <c r="K263"/>
    </row>
    <row r="264" spans="1:11" s="19" customFormat="1">
      <c r="A264" s="4"/>
      <c r="B264"/>
      <c r="C264"/>
      <c r="D264"/>
      <c r="E264"/>
      <c r="F264"/>
      <c r="G264"/>
      <c r="H264"/>
      <c r="I264"/>
      <c r="J264"/>
      <c r="K264"/>
    </row>
    <row r="265" spans="1:11" s="19" customFormat="1">
      <c r="A265" s="4"/>
      <c r="B265"/>
      <c r="C265"/>
      <c r="D265"/>
      <c r="E265"/>
      <c r="F265"/>
      <c r="G265"/>
      <c r="H265"/>
      <c r="I265"/>
      <c r="J265"/>
      <c r="K265"/>
    </row>
    <row r="266" spans="1:11" s="19" customFormat="1">
      <c r="A266" s="4"/>
      <c r="B266"/>
      <c r="C266"/>
      <c r="D266"/>
      <c r="E266"/>
      <c r="F266"/>
      <c r="G266"/>
      <c r="H266"/>
      <c r="I266"/>
      <c r="J266"/>
      <c r="K266"/>
    </row>
    <row r="267" spans="1:11" s="19" customFormat="1">
      <c r="A267" s="4"/>
      <c r="B267"/>
      <c r="C267"/>
      <c r="D267"/>
      <c r="E267"/>
      <c r="F267"/>
      <c r="G267"/>
      <c r="H267"/>
      <c r="I267"/>
      <c r="J267"/>
      <c r="K267"/>
    </row>
    <row r="268" spans="1:11" s="19" customFormat="1">
      <c r="A268" s="4"/>
      <c r="B268"/>
      <c r="C268"/>
      <c r="D268"/>
      <c r="E268"/>
      <c r="F268"/>
      <c r="G268"/>
      <c r="H268"/>
      <c r="I268"/>
      <c r="J268"/>
      <c r="K268"/>
    </row>
    <row r="269" spans="1:11" s="19" customFormat="1">
      <c r="A269" s="4"/>
      <c r="B269"/>
      <c r="C269"/>
      <c r="D269"/>
      <c r="E269"/>
      <c r="F269"/>
      <c r="G269"/>
      <c r="H269"/>
      <c r="I269"/>
      <c r="J269"/>
      <c r="K269"/>
    </row>
    <row r="270" spans="1:11" s="19" customFormat="1">
      <c r="A270" s="4"/>
      <c r="B270"/>
      <c r="C270"/>
      <c r="D270"/>
      <c r="E270"/>
      <c r="F270"/>
      <c r="G270"/>
      <c r="H270"/>
      <c r="I270"/>
      <c r="J270"/>
      <c r="K270"/>
    </row>
    <row r="271" spans="1:11" s="19" customFormat="1">
      <c r="A271" s="4"/>
      <c r="B271"/>
      <c r="C271"/>
      <c r="D271"/>
      <c r="E271"/>
      <c r="F271"/>
      <c r="G271"/>
      <c r="H271"/>
      <c r="I271"/>
      <c r="J271"/>
      <c r="K271"/>
    </row>
    <row r="272" spans="1:11" s="19" customFormat="1">
      <c r="A272" s="4"/>
      <c r="B272"/>
      <c r="C272"/>
      <c r="D272"/>
      <c r="E272"/>
      <c r="F272"/>
      <c r="G272"/>
      <c r="H272"/>
      <c r="I272"/>
      <c r="J272"/>
      <c r="K272"/>
    </row>
    <row r="273" spans="1:11" s="19" customFormat="1">
      <c r="A273" s="4"/>
      <c r="B273"/>
      <c r="C273"/>
      <c r="D273"/>
      <c r="E273"/>
      <c r="F273"/>
      <c r="G273"/>
      <c r="H273"/>
      <c r="I273"/>
      <c r="J273"/>
      <c r="K273"/>
    </row>
    <row r="274" spans="1:11" s="19" customFormat="1">
      <c r="A274" s="4"/>
      <c r="B274"/>
      <c r="C274"/>
      <c r="D274"/>
      <c r="E274"/>
      <c r="F274"/>
      <c r="G274"/>
      <c r="H274"/>
      <c r="I274"/>
      <c r="J274"/>
      <c r="K274"/>
    </row>
    <row r="275" spans="1:11" s="19" customFormat="1">
      <c r="A275" s="4"/>
      <c r="B275"/>
      <c r="C275"/>
      <c r="D275"/>
      <c r="E275"/>
      <c r="F275"/>
      <c r="G275"/>
      <c r="H275"/>
      <c r="I275"/>
      <c r="J275"/>
      <c r="K275"/>
    </row>
    <row r="276" spans="1:11" s="19" customFormat="1">
      <c r="A276" s="4"/>
      <c r="B276"/>
      <c r="C276"/>
      <c r="D276"/>
      <c r="E276"/>
      <c r="F276"/>
      <c r="G276"/>
      <c r="H276"/>
      <c r="I276"/>
      <c r="J276"/>
      <c r="K276"/>
    </row>
    <row r="277" spans="1:11" s="19" customFormat="1">
      <c r="A277" s="4"/>
      <c r="B277"/>
      <c r="C277"/>
      <c r="D277"/>
      <c r="E277"/>
      <c r="F277"/>
      <c r="G277"/>
      <c r="H277"/>
      <c r="I277"/>
      <c r="J277"/>
      <c r="K277"/>
    </row>
    <row r="278" spans="1:11" s="19" customFormat="1">
      <c r="A278" s="4"/>
      <c r="B278"/>
      <c r="C278"/>
      <c r="D278"/>
      <c r="E278"/>
      <c r="F278"/>
      <c r="G278"/>
      <c r="H278"/>
      <c r="I278"/>
      <c r="J278"/>
      <c r="K278"/>
    </row>
    <row r="279" spans="1:11" s="19" customFormat="1">
      <c r="A279" s="4"/>
      <c r="B279"/>
      <c r="C279"/>
      <c r="D279"/>
      <c r="E279"/>
      <c r="F279"/>
      <c r="G279"/>
      <c r="H279"/>
      <c r="I279"/>
      <c r="J279"/>
      <c r="K279"/>
    </row>
    <row r="280" spans="1:11" s="19" customFormat="1">
      <c r="A280" s="4"/>
      <c r="B280"/>
      <c r="C280"/>
      <c r="D280"/>
      <c r="E280"/>
      <c r="F280"/>
      <c r="G280"/>
      <c r="H280"/>
      <c r="I280"/>
      <c r="J280"/>
      <c r="K280"/>
    </row>
    <row r="281" spans="1:11" s="19" customFormat="1">
      <c r="A281" s="4"/>
      <c r="B281"/>
      <c r="C281"/>
      <c r="D281"/>
      <c r="E281"/>
      <c r="F281"/>
      <c r="G281"/>
      <c r="H281"/>
      <c r="I281"/>
      <c r="J281"/>
      <c r="K281"/>
    </row>
    <row r="282" spans="1:11" s="19" customFormat="1">
      <c r="A282" s="4"/>
      <c r="B282"/>
      <c r="C282"/>
      <c r="D282"/>
      <c r="E282"/>
      <c r="F282"/>
      <c r="G282"/>
      <c r="H282"/>
      <c r="I282"/>
      <c r="J282"/>
      <c r="K282"/>
    </row>
    <row r="283" spans="1:11" s="19" customFormat="1">
      <c r="A283" s="4"/>
      <c r="B283"/>
      <c r="C283"/>
      <c r="D283"/>
      <c r="E283"/>
      <c r="F283"/>
      <c r="G283"/>
      <c r="H283"/>
      <c r="I283"/>
      <c r="J283"/>
      <c r="K283"/>
    </row>
    <row r="284" spans="1:11" s="19" customFormat="1">
      <c r="A284" s="4"/>
      <c r="B284"/>
      <c r="C284"/>
      <c r="D284"/>
      <c r="E284"/>
      <c r="F284"/>
      <c r="G284"/>
      <c r="H284"/>
      <c r="I284"/>
      <c r="J284"/>
      <c r="K284"/>
    </row>
    <row r="285" spans="1:11" s="19" customFormat="1">
      <c r="A285" s="4"/>
      <c r="B285"/>
      <c r="C285"/>
      <c r="D285"/>
      <c r="E285"/>
      <c r="F285"/>
      <c r="G285"/>
      <c r="H285"/>
      <c r="I285"/>
      <c r="J285"/>
      <c r="K285"/>
    </row>
    <row r="286" spans="1:11" s="19" customFormat="1">
      <c r="A286" s="4"/>
      <c r="B286"/>
      <c r="C286"/>
      <c r="D286"/>
      <c r="E286"/>
      <c r="F286"/>
      <c r="G286"/>
      <c r="H286"/>
      <c r="I286"/>
      <c r="J286"/>
      <c r="K286"/>
    </row>
    <row r="287" spans="1:11" s="19" customFormat="1">
      <c r="A287" s="4"/>
      <c r="B287"/>
      <c r="C287"/>
      <c r="D287"/>
      <c r="E287"/>
      <c r="F287"/>
      <c r="G287"/>
      <c r="H287"/>
      <c r="I287"/>
      <c r="J287"/>
      <c r="K287"/>
    </row>
    <row r="288" spans="1:11" s="19" customFormat="1">
      <c r="A288" s="4"/>
      <c r="B288"/>
      <c r="C288"/>
      <c r="D288"/>
      <c r="E288"/>
      <c r="F288"/>
      <c r="G288"/>
      <c r="H288"/>
      <c r="I288"/>
      <c r="J288"/>
      <c r="K288"/>
    </row>
    <row r="289" spans="1:11" s="19" customFormat="1">
      <c r="A289" s="4"/>
      <c r="B289"/>
      <c r="C289"/>
      <c r="D289"/>
      <c r="E289"/>
      <c r="F289"/>
      <c r="G289"/>
      <c r="H289"/>
      <c r="I289"/>
      <c r="J289"/>
      <c r="K289"/>
    </row>
    <row r="290" spans="1:11" s="19" customFormat="1">
      <c r="A290" s="4"/>
      <c r="B290"/>
      <c r="C290"/>
      <c r="D290"/>
      <c r="E290"/>
      <c r="F290"/>
      <c r="G290"/>
      <c r="H290"/>
      <c r="I290"/>
      <c r="J290"/>
      <c r="K290"/>
    </row>
    <row r="291" spans="1:11" s="19" customFormat="1">
      <c r="A291" s="4"/>
      <c r="B291"/>
      <c r="C291"/>
      <c r="D291"/>
      <c r="E291"/>
      <c r="F291"/>
      <c r="G291"/>
      <c r="H291"/>
      <c r="I291"/>
      <c r="J291"/>
      <c r="K291"/>
    </row>
    <row r="292" spans="1:11" s="19" customFormat="1">
      <c r="A292" s="4"/>
      <c r="B292"/>
      <c r="C292"/>
      <c r="D292"/>
      <c r="E292"/>
      <c r="F292"/>
      <c r="G292"/>
      <c r="H292"/>
      <c r="I292"/>
      <c r="J292"/>
      <c r="K292"/>
    </row>
    <row r="293" spans="1:11" s="19" customFormat="1">
      <c r="A293" s="4"/>
      <c r="B293"/>
      <c r="C293"/>
      <c r="D293"/>
      <c r="E293"/>
      <c r="F293"/>
      <c r="G293"/>
      <c r="H293"/>
      <c r="I293"/>
      <c r="J293"/>
      <c r="K293"/>
    </row>
    <row r="294" spans="1:11" s="19" customFormat="1">
      <c r="A294" s="4"/>
      <c r="B294"/>
      <c r="C294"/>
      <c r="D294"/>
      <c r="E294"/>
      <c r="F294"/>
      <c r="G294"/>
      <c r="H294"/>
      <c r="I294"/>
      <c r="J294"/>
      <c r="K294"/>
    </row>
    <row r="295" spans="1:11" s="19" customFormat="1">
      <c r="A295" s="4"/>
      <c r="B295"/>
      <c r="C295"/>
      <c r="D295"/>
      <c r="E295"/>
      <c r="F295"/>
      <c r="G295"/>
      <c r="H295"/>
      <c r="I295"/>
      <c r="J295"/>
      <c r="K295"/>
    </row>
    <row r="296" spans="1:11" s="19" customFormat="1">
      <c r="A296" s="4"/>
      <c r="B296"/>
      <c r="C296"/>
      <c r="D296"/>
      <c r="E296"/>
      <c r="F296"/>
      <c r="G296"/>
      <c r="H296"/>
      <c r="I296"/>
      <c r="J296"/>
      <c r="K296"/>
    </row>
    <row r="297" spans="1:11" s="19" customFormat="1">
      <c r="A297" s="4"/>
      <c r="B297"/>
      <c r="C297"/>
      <c r="D297"/>
      <c r="E297"/>
      <c r="F297"/>
      <c r="G297"/>
      <c r="H297"/>
      <c r="I297"/>
      <c r="J297"/>
      <c r="K297"/>
    </row>
    <row r="298" spans="1:11" s="19" customFormat="1">
      <c r="A298" s="4"/>
      <c r="B298"/>
      <c r="C298"/>
      <c r="D298"/>
      <c r="E298"/>
      <c r="F298"/>
      <c r="G298"/>
      <c r="H298"/>
      <c r="I298"/>
      <c r="J298"/>
      <c r="K298"/>
    </row>
    <row r="299" spans="1:11" s="19" customFormat="1">
      <c r="A299" s="4"/>
      <c r="B299"/>
      <c r="C299"/>
      <c r="D299"/>
      <c r="E299"/>
      <c r="F299"/>
      <c r="G299"/>
      <c r="H299"/>
      <c r="I299"/>
      <c r="J299"/>
      <c r="K299"/>
    </row>
    <row r="300" spans="1:11" s="19" customFormat="1">
      <c r="A300" s="4"/>
      <c r="B300"/>
      <c r="C300"/>
      <c r="D300"/>
      <c r="E300"/>
      <c r="F300"/>
      <c r="G300"/>
      <c r="H300"/>
      <c r="I300"/>
      <c r="J300"/>
      <c r="K300"/>
    </row>
    <row r="301" spans="1:11" s="19" customFormat="1">
      <c r="A301" s="4"/>
      <c r="B301"/>
      <c r="C301"/>
      <c r="D301"/>
      <c r="E301"/>
      <c r="F301"/>
      <c r="G301"/>
      <c r="H301"/>
      <c r="I301"/>
      <c r="J301"/>
      <c r="K301"/>
    </row>
    <row r="302" spans="1:11" s="19" customFormat="1">
      <c r="A302" s="4"/>
      <c r="B302"/>
      <c r="C302"/>
      <c r="D302"/>
      <c r="E302"/>
      <c r="F302"/>
      <c r="G302"/>
      <c r="H302"/>
      <c r="I302"/>
      <c r="J302"/>
      <c r="K302"/>
    </row>
    <row r="303" spans="1:11" s="19" customFormat="1">
      <c r="A303" s="4"/>
      <c r="B303"/>
      <c r="C303"/>
      <c r="D303"/>
      <c r="E303"/>
      <c r="F303"/>
      <c r="G303"/>
      <c r="H303"/>
      <c r="I303"/>
      <c r="J303"/>
      <c r="K303"/>
    </row>
    <row r="304" spans="1:11" s="19" customFormat="1">
      <c r="A304" s="4"/>
      <c r="B304"/>
      <c r="C304"/>
      <c r="D304"/>
      <c r="E304"/>
      <c r="F304"/>
      <c r="G304"/>
      <c r="H304"/>
      <c r="I304"/>
      <c r="J304"/>
      <c r="K304"/>
    </row>
    <row r="305" spans="1:11" s="19" customFormat="1">
      <c r="A305" s="4"/>
      <c r="B305"/>
      <c r="C305"/>
      <c r="D305"/>
      <c r="E305"/>
      <c r="F305"/>
      <c r="G305"/>
      <c r="H305"/>
      <c r="I305"/>
      <c r="J305"/>
      <c r="K305"/>
    </row>
    <row r="306" spans="1:11" s="19" customFormat="1">
      <c r="A306" s="4"/>
      <c r="B306"/>
      <c r="C306"/>
      <c r="D306"/>
      <c r="E306"/>
      <c r="F306"/>
      <c r="G306"/>
      <c r="H306"/>
      <c r="I306"/>
      <c r="J306"/>
      <c r="K306"/>
    </row>
    <row r="307" spans="1:11" s="19" customFormat="1">
      <c r="A307" s="4"/>
      <c r="B307"/>
      <c r="C307"/>
      <c r="D307"/>
      <c r="E307"/>
      <c r="F307"/>
      <c r="G307"/>
      <c r="H307"/>
      <c r="I307"/>
      <c r="J307"/>
      <c r="K307"/>
    </row>
    <row r="308" spans="1:11" s="19" customFormat="1">
      <c r="A308" s="4"/>
      <c r="B308"/>
      <c r="C308"/>
      <c r="D308"/>
      <c r="E308"/>
      <c r="F308"/>
      <c r="G308"/>
      <c r="H308"/>
      <c r="I308"/>
      <c r="J308"/>
      <c r="K308"/>
    </row>
    <row r="309" spans="1:11" s="19" customFormat="1">
      <c r="A309" s="4"/>
      <c r="B309"/>
      <c r="C309"/>
      <c r="D309"/>
      <c r="E309"/>
      <c r="F309"/>
      <c r="G309"/>
      <c r="H309"/>
      <c r="I309"/>
      <c r="J309"/>
      <c r="K309"/>
    </row>
    <row r="310" spans="1:11" s="19" customFormat="1">
      <c r="A310" s="4"/>
      <c r="B310"/>
      <c r="C310"/>
      <c r="D310"/>
      <c r="E310"/>
      <c r="F310"/>
      <c r="G310"/>
      <c r="H310"/>
      <c r="I310"/>
      <c r="J310"/>
      <c r="K310"/>
    </row>
    <row r="311" spans="1:11" s="19" customFormat="1">
      <c r="A311" s="4"/>
      <c r="B311"/>
      <c r="C311"/>
      <c r="D311"/>
      <c r="E311"/>
      <c r="F311"/>
      <c r="G311"/>
      <c r="H311"/>
      <c r="I311"/>
      <c r="J311"/>
      <c r="K311"/>
    </row>
    <row r="312" spans="1:11" s="19" customFormat="1">
      <c r="A312" s="4"/>
      <c r="B312"/>
      <c r="C312"/>
      <c r="D312"/>
      <c r="E312"/>
      <c r="F312"/>
      <c r="G312"/>
      <c r="H312"/>
      <c r="I312"/>
      <c r="J312"/>
      <c r="K312"/>
    </row>
    <row r="313" spans="1:11" s="19" customFormat="1">
      <c r="A313" s="4"/>
      <c r="B313"/>
      <c r="C313"/>
      <c r="D313"/>
      <c r="E313"/>
      <c r="F313"/>
      <c r="G313"/>
      <c r="H313"/>
      <c r="I313"/>
      <c r="J313"/>
      <c r="K313"/>
    </row>
    <row r="314" spans="1:11" s="19" customFormat="1">
      <c r="A314" s="4"/>
      <c r="B314"/>
      <c r="C314"/>
      <c r="D314"/>
      <c r="E314"/>
      <c r="F314"/>
      <c r="G314"/>
      <c r="H314"/>
      <c r="I314"/>
      <c r="J314"/>
      <c r="K314"/>
    </row>
    <row r="315" spans="1:11" s="19" customFormat="1">
      <c r="A315" s="4"/>
      <c r="B315"/>
      <c r="C315"/>
      <c r="D315"/>
      <c r="E315"/>
      <c r="F315"/>
      <c r="G315"/>
      <c r="H315"/>
      <c r="I315"/>
      <c r="J315"/>
      <c r="K315"/>
    </row>
    <row r="316" spans="1:11" s="19" customFormat="1">
      <c r="A316" s="4"/>
      <c r="B316"/>
      <c r="C316"/>
      <c r="D316"/>
      <c r="E316"/>
      <c r="F316"/>
      <c r="G316"/>
      <c r="H316"/>
      <c r="I316"/>
      <c r="J316"/>
      <c r="K316"/>
    </row>
    <row r="317" spans="1:11" s="19" customFormat="1">
      <c r="A317" s="4"/>
      <c r="B317"/>
      <c r="C317"/>
      <c r="D317"/>
      <c r="E317"/>
      <c r="F317"/>
      <c r="G317"/>
      <c r="H317"/>
      <c r="I317"/>
      <c r="J317"/>
      <c r="K317"/>
    </row>
    <row r="318" spans="1:11" s="19" customFormat="1">
      <c r="A318" s="4"/>
      <c r="B318"/>
      <c r="C318"/>
      <c r="D318"/>
      <c r="E318"/>
      <c r="F318"/>
      <c r="G318"/>
      <c r="H318"/>
      <c r="I318"/>
      <c r="J318"/>
      <c r="K318"/>
    </row>
    <row r="319" spans="1:11" s="19" customFormat="1">
      <c r="A319" s="4"/>
      <c r="B319"/>
      <c r="C319"/>
      <c r="D319"/>
      <c r="E319"/>
      <c r="F319"/>
      <c r="G319"/>
      <c r="H319"/>
      <c r="I319"/>
      <c r="J319"/>
      <c r="K319"/>
    </row>
    <row r="320" spans="1:11" s="19" customFormat="1">
      <c r="A320" s="4"/>
      <c r="B320"/>
      <c r="C320"/>
      <c r="D320"/>
      <c r="E320"/>
      <c r="F320"/>
      <c r="G320"/>
      <c r="H320"/>
      <c r="I320"/>
      <c r="J320"/>
      <c r="K320"/>
    </row>
    <row r="321" spans="1:11" s="19" customFormat="1">
      <c r="A321" s="4"/>
      <c r="B321"/>
      <c r="C321"/>
      <c r="D321"/>
      <c r="E321"/>
      <c r="F321"/>
      <c r="G321"/>
      <c r="H321"/>
      <c r="I321"/>
      <c r="J321"/>
      <c r="K321"/>
    </row>
    <row r="322" spans="1:11" s="19" customFormat="1">
      <c r="A322" s="4"/>
      <c r="B322"/>
      <c r="C322"/>
      <c r="D322"/>
      <c r="E322"/>
      <c r="F322"/>
      <c r="G322"/>
      <c r="H322"/>
      <c r="I322"/>
      <c r="J322"/>
      <c r="K322"/>
    </row>
    <row r="323" spans="1:11" s="19" customFormat="1">
      <c r="A323" s="4"/>
      <c r="B323"/>
      <c r="C323"/>
      <c r="D323"/>
      <c r="E323"/>
      <c r="F323"/>
      <c r="G323"/>
      <c r="H323"/>
      <c r="I323"/>
      <c r="J323"/>
      <c r="K323"/>
    </row>
    <row r="324" spans="1:11" s="19" customFormat="1">
      <c r="A324" s="4"/>
      <c r="B324"/>
      <c r="C324"/>
      <c r="D324"/>
      <c r="E324"/>
      <c r="F324"/>
      <c r="G324"/>
      <c r="H324"/>
      <c r="I324"/>
      <c r="J324"/>
      <c r="K324"/>
    </row>
    <row r="325" spans="1:11" s="19" customFormat="1">
      <c r="A325" s="4"/>
      <c r="B325"/>
      <c r="C325"/>
      <c r="D325"/>
      <c r="E325"/>
      <c r="F325"/>
      <c r="G325"/>
      <c r="H325"/>
      <c r="I325"/>
      <c r="J325"/>
      <c r="K325"/>
    </row>
    <row r="326" spans="1:11" s="19" customFormat="1">
      <c r="A326" s="4"/>
      <c r="B326"/>
      <c r="C326"/>
      <c r="D326"/>
      <c r="E326"/>
      <c r="F326"/>
      <c r="G326"/>
      <c r="H326"/>
      <c r="I326"/>
      <c r="J326"/>
      <c r="K326"/>
    </row>
    <row r="327" spans="1:11" s="19" customFormat="1">
      <c r="A327" s="4"/>
      <c r="B327"/>
      <c r="C327"/>
      <c r="D327"/>
      <c r="E327"/>
      <c r="F327"/>
      <c r="G327"/>
      <c r="H327"/>
      <c r="I327"/>
      <c r="J327"/>
      <c r="K327"/>
    </row>
    <row r="328" spans="1:11" s="19" customFormat="1">
      <c r="A328" s="4"/>
      <c r="B328"/>
      <c r="C328"/>
      <c r="D328"/>
      <c r="E328"/>
      <c r="F328"/>
      <c r="G328"/>
      <c r="H328"/>
      <c r="I328"/>
      <c r="J328"/>
      <c r="K328"/>
    </row>
    <row r="329" spans="1:11" s="19" customFormat="1">
      <c r="A329" s="4"/>
      <c r="B329"/>
      <c r="C329"/>
      <c r="D329"/>
      <c r="E329"/>
      <c r="F329"/>
      <c r="G329"/>
      <c r="H329"/>
      <c r="I329"/>
      <c r="J329"/>
      <c r="K329"/>
    </row>
    <row r="330" spans="1:11" s="19" customFormat="1">
      <c r="A330" s="4"/>
      <c r="B330"/>
      <c r="C330"/>
      <c r="D330"/>
      <c r="E330"/>
      <c r="F330"/>
      <c r="G330"/>
      <c r="H330"/>
      <c r="I330"/>
      <c r="J330"/>
      <c r="K330"/>
    </row>
    <row r="331" spans="1:11" s="19" customFormat="1">
      <c r="A331" s="4"/>
      <c r="B331"/>
      <c r="C331"/>
      <c r="D331"/>
      <c r="E331"/>
      <c r="F331"/>
      <c r="G331"/>
      <c r="H331"/>
      <c r="I331"/>
      <c r="J331"/>
      <c r="K331"/>
    </row>
    <row r="332" spans="1:11" s="19" customFormat="1">
      <c r="A332" s="4"/>
      <c r="B332"/>
      <c r="C332"/>
      <c r="D332"/>
      <c r="E332"/>
      <c r="F332"/>
      <c r="G332"/>
      <c r="H332"/>
      <c r="I332"/>
      <c r="J332"/>
      <c r="K332"/>
    </row>
    <row r="333" spans="1:11" s="19" customFormat="1">
      <c r="A333" s="4"/>
      <c r="B333"/>
      <c r="C333"/>
      <c r="D333"/>
      <c r="E333"/>
      <c r="F333"/>
      <c r="G333"/>
      <c r="H333"/>
      <c r="I333"/>
      <c r="J333"/>
      <c r="K333"/>
    </row>
    <row r="334" spans="1:11" s="19" customFormat="1">
      <c r="A334" s="4"/>
      <c r="B334"/>
      <c r="C334"/>
      <c r="D334"/>
      <c r="E334"/>
      <c r="F334"/>
      <c r="G334"/>
      <c r="H334"/>
      <c r="I334"/>
      <c r="J334"/>
      <c r="K334"/>
    </row>
    <row r="335" spans="1:11" s="19" customFormat="1">
      <c r="A335" s="4"/>
      <c r="B335"/>
      <c r="C335"/>
      <c r="D335"/>
      <c r="E335"/>
      <c r="F335"/>
      <c r="G335"/>
      <c r="H335"/>
      <c r="I335"/>
      <c r="J335"/>
      <c r="K335"/>
    </row>
    <row r="336" spans="1:11" s="19" customFormat="1">
      <c r="A336" s="4"/>
      <c r="B336"/>
      <c r="C336"/>
      <c r="D336"/>
      <c r="E336"/>
      <c r="F336"/>
      <c r="G336"/>
      <c r="H336"/>
      <c r="I336"/>
      <c r="J336"/>
      <c r="K336"/>
    </row>
    <row r="337" spans="1:11" s="19" customFormat="1">
      <c r="A337" s="4"/>
      <c r="B337"/>
      <c r="C337"/>
      <c r="D337"/>
      <c r="E337"/>
      <c r="F337"/>
      <c r="G337"/>
      <c r="H337"/>
      <c r="I337"/>
      <c r="J337"/>
      <c r="K337"/>
    </row>
    <row r="338" spans="1:11" s="19" customFormat="1">
      <c r="A338" s="4"/>
      <c r="B338"/>
      <c r="C338"/>
      <c r="D338"/>
      <c r="E338"/>
      <c r="F338"/>
      <c r="G338"/>
      <c r="H338"/>
      <c r="I338"/>
      <c r="J338"/>
      <c r="K338"/>
    </row>
    <row r="339" spans="1:11" s="19" customFormat="1">
      <c r="A339" s="4"/>
      <c r="B339"/>
      <c r="C339"/>
      <c r="D339"/>
      <c r="E339"/>
      <c r="F339"/>
      <c r="G339"/>
      <c r="H339"/>
      <c r="I339"/>
      <c r="J339"/>
      <c r="K339"/>
    </row>
    <row r="340" spans="1:11" s="19" customFormat="1">
      <c r="A340" s="4"/>
      <c r="B340"/>
      <c r="C340"/>
      <c r="D340"/>
      <c r="E340"/>
      <c r="F340"/>
      <c r="G340"/>
      <c r="H340"/>
      <c r="I340"/>
      <c r="J340"/>
      <c r="K340"/>
    </row>
    <row r="341" spans="1:11" s="19" customFormat="1">
      <c r="A341" s="4"/>
      <c r="B341"/>
      <c r="C341"/>
      <c r="D341"/>
      <c r="E341"/>
      <c r="F341"/>
      <c r="G341"/>
      <c r="H341"/>
      <c r="I341"/>
      <c r="J341"/>
      <c r="K341"/>
    </row>
    <row r="342" spans="1:11" s="19" customFormat="1">
      <c r="A342" s="4"/>
      <c r="B342"/>
      <c r="C342"/>
      <c r="D342"/>
      <c r="E342"/>
      <c r="F342"/>
      <c r="G342"/>
      <c r="H342"/>
      <c r="I342"/>
      <c r="J342"/>
      <c r="K342"/>
    </row>
    <row r="343" spans="1:11" s="19" customFormat="1">
      <c r="A343" s="4"/>
      <c r="B343"/>
      <c r="C343"/>
      <c r="D343"/>
      <c r="E343"/>
      <c r="F343"/>
      <c r="G343"/>
      <c r="H343"/>
      <c r="I343"/>
      <c r="J343"/>
      <c r="K343"/>
    </row>
    <row r="344" spans="1:11" s="19" customFormat="1">
      <c r="A344" s="4"/>
      <c r="B344"/>
      <c r="C344"/>
      <c r="D344"/>
      <c r="E344"/>
      <c r="F344"/>
      <c r="G344"/>
      <c r="H344"/>
      <c r="I344"/>
      <c r="J344"/>
      <c r="K344"/>
    </row>
    <row r="345" spans="1:11" s="19" customFormat="1">
      <c r="A345" s="4"/>
      <c r="B345"/>
      <c r="C345"/>
      <c r="D345"/>
      <c r="E345"/>
      <c r="F345"/>
      <c r="G345"/>
      <c r="H345"/>
      <c r="I345"/>
      <c r="J345"/>
      <c r="K345"/>
    </row>
    <row r="346" spans="1:11" s="19" customFormat="1">
      <c r="A346" s="4"/>
      <c r="B346"/>
      <c r="C346"/>
      <c r="D346"/>
      <c r="E346"/>
      <c r="F346"/>
      <c r="G346"/>
      <c r="H346"/>
      <c r="I346"/>
      <c r="J346"/>
      <c r="K346"/>
    </row>
    <row r="347" spans="1:11" s="19" customFormat="1">
      <c r="A347" s="4"/>
      <c r="B347"/>
      <c r="C347"/>
      <c r="D347"/>
      <c r="E347"/>
      <c r="F347"/>
      <c r="G347"/>
      <c r="H347"/>
      <c r="I347"/>
      <c r="J347"/>
      <c r="K347"/>
    </row>
    <row r="348" spans="1:11" s="19" customFormat="1">
      <c r="A348" s="4"/>
      <c r="B348"/>
      <c r="C348"/>
      <c r="D348"/>
      <c r="E348"/>
      <c r="F348"/>
      <c r="G348"/>
      <c r="H348"/>
      <c r="I348"/>
      <c r="J348"/>
      <c r="K348"/>
    </row>
    <row r="349" spans="1:11" s="19" customFormat="1">
      <c r="A349" s="4"/>
      <c r="B349"/>
      <c r="C349"/>
      <c r="D349"/>
      <c r="E349"/>
      <c r="F349"/>
      <c r="G349"/>
      <c r="H349"/>
      <c r="I349"/>
      <c r="J349"/>
      <c r="K349"/>
    </row>
    <row r="350" spans="1:11" s="19" customFormat="1">
      <c r="A350" s="4"/>
      <c r="B350"/>
      <c r="C350"/>
      <c r="D350"/>
      <c r="E350"/>
      <c r="F350"/>
      <c r="G350"/>
      <c r="H350"/>
      <c r="I350"/>
      <c r="J350"/>
      <c r="K350"/>
    </row>
    <row r="351" spans="1:11" s="19" customFormat="1">
      <c r="A351" s="4"/>
      <c r="B351"/>
      <c r="C351"/>
      <c r="D351"/>
      <c r="E351"/>
      <c r="F351"/>
      <c r="G351"/>
      <c r="H351"/>
      <c r="I351"/>
      <c r="J351"/>
      <c r="K351"/>
    </row>
    <row r="352" spans="1:11" s="19" customFormat="1">
      <c r="A352" s="4"/>
      <c r="B352"/>
      <c r="C352"/>
      <c r="D352"/>
      <c r="E352"/>
      <c r="F352"/>
      <c r="G352"/>
      <c r="H352"/>
      <c r="I352"/>
      <c r="J352"/>
      <c r="K352"/>
    </row>
    <row r="353" spans="1:11" s="19" customFormat="1">
      <c r="A353" s="4"/>
      <c r="B353"/>
      <c r="C353"/>
      <c r="D353"/>
      <c r="E353"/>
      <c r="F353"/>
      <c r="G353"/>
      <c r="H353"/>
      <c r="I353"/>
      <c r="J353"/>
      <c r="K353"/>
    </row>
    <row r="354" spans="1:11" s="19" customFormat="1">
      <c r="A354" s="4"/>
      <c r="B354"/>
      <c r="C354"/>
      <c r="D354"/>
      <c r="E354"/>
      <c r="F354"/>
      <c r="G354"/>
      <c r="H354"/>
      <c r="I354"/>
      <c r="J354"/>
      <c r="K354"/>
    </row>
    <row r="355" spans="1:11" s="19" customFormat="1">
      <c r="A355" s="4"/>
      <c r="B355"/>
      <c r="C355"/>
      <c r="D355"/>
      <c r="E355"/>
      <c r="F355"/>
      <c r="G355"/>
      <c r="H355"/>
      <c r="I355"/>
      <c r="J355"/>
      <c r="K355"/>
    </row>
    <row r="356" spans="1:11" s="19" customFormat="1">
      <c r="A356" s="4"/>
      <c r="B356"/>
      <c r="C356"/>
      <c r="D356"/>
      <c r="E356"/>
      <c r="F356"/>
      <c r="G356"/>
      <c r="H356"/>
      <c r="I356"/>
      <c r="J356"/>
      <c r="K356"/>
    </row>
    <row r="357" spans="1:11" s="19" customFormat="1">
      <c r="A357" s="4"/>
      <c r="B357"/>
      <c r="C357"/>
      <c r="D357"/>
      <c r="E357"/>
      <c r="F357"/>
      <c r="G357"/>
      <c r="H357"/>
      <c r="I357"/>
      <c r="J357"/>
      <c r="K357"/>
    </row>
    <row r="358" spans="1:11" s="19" customFormat="1">
      <c r="A358" s="4"/>
      <c r="B358"/>
      <c r="C358"/>
      <c r="D358"/>
      <c r="E358"/>
      <c r="F358"/>
      <c r="G358"/>
      <c r="H358"/>
      <c r="I358"/>
      <c r="J358"/>
      <c r="K358"/>
    </row>
    <row r="359" spans="1:11" s="19" customFormat="1">
      <c r="A359" s="4"/>
      <c r="B359"/>
      <c r="C359"/>
      <c r="D359"/>
      <c r="E359"/>
      <c r="F359"/>
      <c r="G359"/>
      <c r="H359"/>
      <c r="I359"/>
      <c r="J359"/>
      <c r="K359"/>
    </row>
    <row r="360" spans="1:11" s="19" customFormat="1">
      <c r="A360" s="4"/>
      <c r="B360"/>
      <c r="C360"/>
      <c r="D360"/>
      <c r="E360"/>
      <c r="F360"/>
      <c r="G360"/>
      <c r="H360"/>
      <c r="I360"/>
      <c r="J360"/>
      <c r="K360"/>
    </row>
    <row r="361" spans="1:11" s="19" customFormat="1">
      <c r="A361" s="4"/>
      <c r="B361"/>
      <c r="C361"/>
      <c r="D361"/>
      <c r="E361"/>
      <c r="F361"/>
      <c r="G361"/>
      <c r="H361"/>
      <c r="I361"/>
      <c r="J361"/>
      <c r="K361"/>
    </row>
    <row r="362" spans="1:11" s="19" customFormat="1">
      <c r="A362" s="4"/>
      <c r="B362"/>
      <c r="C362"/>
      <c r="D362"/>
      <c r="E362"/>
      <c r="F362"/>
      <c r="G362"/>
      <c r="H362"/>
      <c r="I362"/>
      <c r="J362"/>
      <c r="K362"/>
    </row>
    <row r="363" spans="1:11" s="19" customFormat="1">
      <c r="A363" s="4"/>
      <c r="B363"/>
      <c r="C363"/>
      <c r="D363"/>
      <c r="E363"/>
      <c r="F363"/>
      <c r="G363"/>
      <c r="H363"/>
      <c r="I363"/>
      <c r="J363"/>
      <c r="K363"/>
    </row>
    <row r="364" spans="1:11" s="19" customFormat="1">
      <c r="A364" s="4"/>
      <c r="B364"/>
      <c r="C364"/>
      <c r="D364"/>
      <c r="E364"/>
      <c r="F364"/>
      <c r="G364"/>
      <c r="H364"/>
      <c r="I364"/>
      <c r="J364"/>
      <c r="K364"/>
    </row>
    <row r="365" spans="1:11" s="19" customFormat="1">
      <c r="A365" s="4"/>
      <c r="B365"/>
      <c r="C365"/>
      <c r="D365"/>
      <c r="E365"/>
      <c r="F365"/>
      <c r="G365"/>
      <c r="H365"/>
      <c r="I365"/>
      <c r="J365"/>
      <c r="K365"/>
    </row>
    <row r="366" spans="1:11" s="19" customFormat="1">
      <c r="A366" s="4"/>
      <c r="B366"/>
      <c r="C366"/>
      <c r="D366"/>
      <c r="E366"/>
      <c r="F366"/>
      <c r="G366"/>
      <c r="H366"/>
      <c r="I366"/>
      <c r="J366"/>
      <c r="K366"/>
    </row>
    <row r="367" spans="1:11" s="19" customFormat="1">
      <c r="A367" s="4"/>
      <c r="B367"/>
      <c r="C367"/>
      <c r="D367"/>
      <c r="E367"/>
      <c r="F367"/>
      <c r="G367"/>
      <c r="H367"/>
      <c r="I367"/>
      <c r="J367"/>
      <c r="K367"/>
    </row>
    <row r="368" spans="1:11" s="19" customFormat="1">
      <c r="A368" s="4"/>
      <c r="B368"/>
      <c r="C368"/>
      <c r="D368"/>
      <c r="E368"/>
      <c r="F368"/>
      <c r="G368"/>
      <c r="H368"/>
      <c r="I368"/>
      <c r="J368"/>
      <c r="K368"/>
    </row>
    <row r="369" spans="1:11" s="19" customFormat="1">
      <c r="A369" s="4"/>
      <c r="B369"/>
      <c r="C369"/>
      <c r="D369"/>
      <c r="E369"/>
      <c r="F369"/>
      <c r="G369"/>
      <c r="H369"/>
      <c r="I369"/>
      <c r="J369"/>
      <c r="K369"/>
    </row>
    <row r="370" spans="1:11" s="19" customFormat="1">
      <c r="A370" s="4"/>
      <c r="B370"/>
      <c r="C370"/>
      <c r="D370"/>
      <c r="E370"/>
      <c r="F370"/>
      <c r="G370"/>
      <c r="H370"/>
      <c r="I370"/>
      <c r="J370"/>
      <c r="K370"/>
    </row>
    <row r="371" spans="1:11" s="19" customFormat="1">
      <c r="A371" s="4"/>
      <c r="B371"/>
      <c r="C371"/>
      <c r="D371"/>
      <c r="E371"/>
      <c r="F371"/>
      <c r="G371"/>
      <c r="H371"/>
      <c r="I371"/>
      <c r="J371"/>
      <c r="K371"/>
    </row>
    <row r="372" spans="1:11" s="19" customFormat="1">
      <c r="A372" s="4"/>
      <c r="B372"/>
      <c r="C372"/>
      <c r="D372"/>
      <c r="E372"/>
      <c r="F372"/>
      <c r="G372"/>
      <c r="H372"/>
      <c r="I372"/>
      <c r="J372"/>
      <c r="K372"/>
    </row>
    <row r="373" spans="1:11" s="19" customFormat="1">
      <c r="A373" s="4"/>
      <c r="B373"/>
      <c r="C373"/>
      <c r="D373"/>
      <c r="E373"/>
      <c r="F373"/>
      <c r="G373"/>
      <c r="H373"/>
      <c r="I373"/>
      <c r="J373"/>
      <c r="K373"/>
    </row>
    <row r="374" spans="1:11" s="19" customFormat="1">
      <c r="A374" s="4"/>
      <c r="B374"/>
      <c r="C374"/>
      <c r="D374"/>
      <c r="E374"/>
      <c r="F374"/>
      <c r="G374"/>
      <c r="H374"/>
      <c r="I374"/>
      <c r="J374"/>
      <c r="K374"/>
    </row>
    <row r="375" spans="1:11" s="19" customFormat="1">
      <c r="A375" s="4"/>
      <c r="B375"/>
      <c r="C375"/>
      <c r="D375"/>
      <c r="E375"/>
      <c r="F375"/>
      <c r="G375"/>
      <c r="H375"/>
      <c r="I375"/>
      <c r="J375"/>
      <c r="K375"/>
    </row>
    <row r="376" spans="1:11" s="19" customFormat="1">
      <c r="A376" s="4"/>
      <c r="B376"/>
      <c r="C376"/>
      <c r="D376"/>
      <c r="E376"/>
      <c r="F376"/>
      <c r="G376"/>
      <c r="H376"/>
      <c r="I376"/>
      <c r="J376"/>
      <c r="K376"/>
    </row>
    <row r="377" spans="1:11" s="19" customFormat="1">
      <c r="A377" s="4"/>
      <c r="B377"/>
      <c r="C377"/>
      <c r="D377"/>
      <c r="E377"/>
      <c r="F377"/>
      <c r="G377"/>
      <c r="H377"/>
      <c r="I377"/>
      <c r="J377"/>
      <c r="K377"/>
    </row>
    <row r="378" spans="1:11" s="19" customFormat="1">
      <c r="A378" s="4"/>
      <c r="B378"/>
      <c r="C378"/>
      <c r="D378"/>
      <c r="E378"/>
      <c r="F378"/>
      <c r="G378"/>
      <c r="H378"/>
      <c r="I378"/>
      <c r="J378"/>
      <c r="K378"/>
    </row>
    <row r="379" spans="1:11" s="19" customFormat="1">
      <c r="A379" s="4"/>
      <c r="B379"/>
      <c r="C379"/>
      <c r="D379"/>
      <c r="E379"/>
      <c r="F379"/>
      <c r="G379"/>
      <c r="H379"/>
      <c r="I379"/>
      <c r="J379"/>
      <c r="K379"/>
    </row>
    <row r="380" spans="1:11" s="19" customFormat="1">
      <c r="A380" s="4"/>
      <c r="B380"/>
      <c r="C380"/>
      <c r="D380"/>
      <c r="E380"/>
      <c r="F380"/>
      <c r="G380"/>
      <c r="H380"/>
      <c r="I380"/>
      <c r="J380"/>
      <c r="K380"/>
    </row>
    <row r="381" spans="1:11" s="19" customFormat="1">
      <c r="A381" s="4"/>
      <c r="B381"/>
      <c r="C381"/>
      <c r="D381"/>
      <c r="E381"/>
      <c r="F381"/>
      <c r="G381"/>
      <c r="H381"/>
      <c r="I381"/>
      <c r="J381"/>
      <c r="K381"/>
    </row>
    <row r="382" spans="1:11" s="19" customFormat="1">
      <c r="A382" s="4"/>
      <c r="B382"/>
      <c r="C382"/>
      <c r="D382"/>
      <c r="E382"/>
      <c r="F382"/>
      <c r="G382"/>
      <c r="H382"/>
      <c r="I382"/>
      <c r="J382"/>
      <c r="K382"/>
    </row>
    <row r="383" spans="1:11" s="19" customFormat="1">
      <c r="A383" s="4"/>
      <c r="B383"/>
      <c r="C383"/>
      <c r="D383"/>
      <c r="E383"/>
      <c r="F383"/>
      <c r="G383"/>
      <c r="H383"/>
      <c r="I383"/>
      <c r="J383"/>
      <c r="K383"/>
    </row>
    <row r="384" spans="1:11" s="19" customFormat="1">
      <c r="A384" s="4"/>
      <c r="B384"/>
      <c r="C384"/>
      <c r="D384"/>
      <c r="E384"/>
      <c r="F384"/>
      <c r="G384"/>
      <c r="H384"/>
      <c r="I384"/>
      <c r="J384"/>
      <c r="K384"/>
    </row>
    <row r="385" spans="1:11" s="19" customFormat="1">
      <c r="A385" s="4"/>
      <c r="B385"/>
      <c r="C385"/>
      <c r="D385"/>
      <c r="E385"/>
      <c r="F385"/>
      <c r="G385"/>
      <c r="H385"/>
      <c r="I385"/>
      <c r="J385"/>
      <c r="K385"/>
    </row>
    <row r="386" spans="1:11" s="19" customFormat="1">
      <c r="A386" s="4"/>
      <c r="B386"/>
      <c r="C386"/>
      <c r="D386"/>
      <c r="E386"/>
      <c r="F386"/>
      <c r="G386"/>
      <c r="H386"/>
      <c r="I386"/>
      <c r="J386"/>
      <c r="K386"/>
    </row>
    <row r="387" spans="1:11" s="19" customFormat="1">
      <c r="A387" s="4"/>
      <c r="B387"/>
      <c r="C387"/>
      <c r="D387"/>
      <c r="E387"/>
      <c r="F387"/>
      <c r="G387"/>
      <c r="H387"/>
      <c r="I387"/>
      <c r="J387"/>
      <c r="K387"/>
    </row>
    <row r="388" spans="1:11" s="19" customFormat="1">
      <c r="A388" s="4"/>
      <c r="B388"/>
      <c r="C388"/>
      <c r="D388"/>
      <c r="E388"/>
      <c r="F388"/>
      <c r="G388"/>
      <c r="H388"/>
      <c r="I388"/>
      <c r="J388"/>
      <c r="K388"/>
    </row>
    <row r="389" spans="1:11" s="19" customFormat="1">
      <c r="A389" s="4"/>
      <c r="B389"/>
      <c r="C389"/>
      <c r="D389"/>
      <c r="E389"/>
      <c r="F389"/>
      <c r="G389"/>
      <c r="H389"/>
      <c r="I389"/>
      <c r="J389"/>
      <c r="K389"/>
    </row>
    <row r="390" spans="1:11" s="19" customFormat="1">
      <c r="A390" s="4"/>
      <c r="B390"/>
      <c r="C390"/>
      <c r="D390"/>
      <c r="E390"/>
      <c r="F390"/>
      <c r="G390"/>
      <c r="H390"/>
      <c r="I390"/>
      <c r="J390"/>
      <c r="K390"/>
    </row>
    <row r="391" spans="1:11" s="19" customFormat="1">
      <c r="A391" s="4"/>
      <c r="B391"/>
      <c r="C391"/>
      <c r="D391"/>
      <c r="E391"/>
      <c r="F391"/>
      <c r="G391"/>
      <c r="H391"/>
      <c r="I391"/>
      <c r="J391"/>
      <c r="K391"/>
    </row>
    <row r="392" spans="1:11" s="19" customFormat="1">
      <c r="A392" s="4"/>
      <c r="B392"/>
      <c r="C392"/>
      <c r="D392"/>
      <c r="E392"/>
      <c r="F392"/>
      <c r="G392"/>
      <c r="H392"/>
      <c r="I392"/>
      <c r="J392"/>
      <c r="K392"/>
    </row>
    <row r="393" spans="1:11" s="19" customFormat="1">
      <c r="A393" s="4"/>
      <c r="B393"/>
      <c r="C393"/>
      <c r="D393"/>
      <c r="E393"/>
      <c r="F393"/>
      <c r="G393"/>
      <c r="H393"/>
      <c r="I393"/>
      <c r="J393"/>
      <c r="K393"/>
    </row>
    <row r="394" spans="1:11" s="19" customFormat="1">
      <c r="A394" s="4"/>
      <c r="B394"/>
      <c r="C394"/>
      <c r="D394"/>
      <c r="E394"/>
      <c r="F394"/>
      <c r="G394"/>
      <c r="H394"/>
      <c r="I394"/>
      <c r="J394"/>
      <c r="K394"/>
    </row>
    <row r="395" spans="1:11" s="19" customFormat="1">
      <c r="A395" s="4"/>
      <c r="B395"/>
      <c r="C395"/>
      <c r="D395"/>
      <c r="E395"/>
      <c r="F395"/>
      <c r="G395"/>
      <c r="H395"/>
      <c r="I395"/>
      <c r="J395"/>
      <c r="K395"/>
    </row>
    <row r="396" spans="1:11" s="19" customFormat="1">
      <c r="A396" s="4"/>
      <c r="B396"/>
      <c r="C396"/>
      <c r="D396"/>
      <c r="E396"/>
      <c r="F396"/>
      <c r="G396"/>
      <c r="H396"/>
      <c r="I396"/>
      <c r="J396"/>
      <c r="K396"/>
    </row>
    <row r="397" spans="1:11" s="19" customFormat="1">
      <c r="A397" s="4"/>
      <c r="B397"/>
      <c r="C397"/>
      <c r="D397"/>
      <c r="E397"/>
      <c r="F397"/>
      <c r="G397"/>
      <c r="H397"/>
      <c r="I397"/>
      <c r="J397"/>
      <c r="K397"/>
    </row>
    <row r="398" spans="1:11" s="19" customFormat="1">
      <c r="A398" s="4"/>
      <c r="B398"/>
      <c r="C398"/>
      <c r="D398"/>
      <c r="E398"/>
      <c r="F398"/>
      <c r="G398"/>
      <c r="H398"/>
      <c r="I398"/>
      <c r="J398"/>
      <c r="K398"/>
    </row>
    <row r="399" spans="1:11" s="19" customFormat="1">
      <c r="A399" s="4"/>
      <c r="B399"/>
      <c r="C399"/>
      <c r="D399"/>
      <c r="E399"/>
      <c r="F399"/>
      <c r="G399"/>
      <c r="H399"/>
      <c r="I399"/>
      <c r="J399"/>
      <c r="K399"/>
    </row>
    <row r="400" spans="1:11" s="19" customFormat="1">
      <c r="A400" s="4"/>
      <c r="B400"/>
      <c r="C400"/>
      <c r="D400"/>
      <c r="E400"/>
      <c r="F400"/>
      <c r="G400"/>
      <c r="H400"/>
      <c r="I400"/>
      <c r="J400"/>
      <c r="K400"/>
    </row>
    <row r="401" spans="1:11" s="19" customFormat="1">
      <c r="A401" s="4"/>
      <c r="B401"/>
      <c r="C401"/>
      <c r="D401"/>
      <c r="E401"/>
      <c r="F401"/>
      <c r="G401"/>
      <c r="H401"/>
      <c r="I401"/>
      <c r="J401"/>
      <c r="K401"/>
    </row>
    <row r="402" spans="1:11" s="19" customFormat="1">
      <c r="A402" s="4"/>
      <c r="B402"/>
      <c r="C402"/>
      <c r="D402"/>
      <c r="E402"/>
      <c r="F402"/>
      <c r="G402"/>
      <c r="H402"/>
      <c r="I402"/>
      <c r="J402"/>
      <c r="K402"/>
    </row>
    <row r="403" spans="1:11" s="19" customFormat="1">
      <c r="A403" s="4"/>
      <c r="B403"/>
      <c r="C403"/>
      <c r="D403"/>
      <c r="E403"/>
      <c r="F403"/>
      <c r="G403"/>
      <c r="H403"/>
      <c r="I403"/>
      <c r="J403"/>
      <c r="K403"/>
    </row>
    <row r="404" spans="1:11" s="19" customFormat="1">
      <c r="A404" s="4"/>
      <c r="B404"/>
      <c r="C404"/>
      <c r="D404"/>
      <c r="E404"/>
      <c r="F404"/>
      <c r="G404"/>
      <c r="H404"/>
      <c r="I404"/>
      <c r="J404"/>
      <c r="K404"/>
    </row>
    <row r="405" spans="1:11" s="19" customFormat="1">
      <c r="A405" s="4"/>
      <c r="B405"/>
      <c r="C405"/>
      <c r="D405"/>
      <c r="E405"/>
      <c r="F405"/>
      <c r="G405"/>
      <c r="H405"/>
      <c r="I405"/>
      <c r="J405"/>
      <c r="K405"/>
    </row>
    <row r="406" spans="1:11" s="19" customFormat="1">
      <c r="A406" s="4"/>
      <c r="B406"/>
      <c r="C406"/>
      <c r="D406"/>
      <c r="E406"/>
      <c r="F406"/>
      <c r="G406"/>
      <c r="H406"/>
      <c r="I406"/>
      <c r="J406"/>
      <c r="K406"/>
    </row>
    <row r="407" spans="1:11" s="19" customFormat="1">
      <c r="A407" s="4"/>
      <c r="B407"/>
      <c r="C407"/>
      <c r="D407"/>
      <c r="E407"/>
      <c r="F407"/>
      <c r="G407"/>
      <c r="H407"/>
      <c r="I407"/>
      <c r="J407"/>
      <c r="K407"/>
    </row>
    <row r="408" spans="1:11" s="19" customFormat="1">
      <c r="A408" s="4"/>
      <c r="B408"/>
      <c r="C408"/>
      <c r="D408"/>
      <c r="E408"/>
      <c r="F408"/>
      <c r="G408"/>
      <c r="H408"/>
      <c r="I408"/>
      <c r="J408"/>
      <c r="K408"/>
    </row>
    <row r="409" spans="1:11" s="19" customFormat="1">
      <c r="A409" s="4"/>
      <c r="B409"/>
      <c r="C409"/>
      <c r="D409"/>
      <c r="E409"/>
      <c r="F409"/>
      <c r="G409"/>
      <c r="H409"/>
      <c r="I409"/>
      <c r="J409"/>
      <c r="K409"/>
    </row>
    <row r="410" spans="1:11" s="19" customFormat="1">
      <c r="A410" s="4"/>
      <c r="B410"/>
      <c r="C410"/>
      <c r="D410"/>
      <c r="E410"/>
      <c r="F410"/>
      <c r="G410"/>
      <c r="H410"/>
      <c r="I410"/>
      <c r="J410"/>
      <c r="K410"/>
    </row>
    <row r="411" spans="1:11" s="19" customFormat="1">
      <c r="A411" s="4"/>
      <c r="B411"/>
      <c r="C411"/>
      <c r="D411"/>
      <c r="E411"/>
      <c r="F411"/>
      <c r="G411"/>
      <c r="H411"/>
      <c r="I411"/>
      <c r="J411"/>
      <c r="K411"/>
    </row>
    <row r="412" spans="1:11" s="19" customFormat="1">
      <c r="A412" s="4"/>
      <c r="B412"/>
      <c r="C412"/>
      <c r="D412"/>
      <c r="E412"/>
      <c r="F412"/>
      <c r="G412"/>
      <c r="H412"/>
      <c r="I412"/>
      <c r="J412"/>
      <c r="K412"/>
    </row>
    <row r="413" spans="1:11" s="19" customFormat="1">
      <c r="A413" s="4"/>
      <c r="B413"/>
      <c r="C413"/>
      <c r="D413"/>
      <c r="E413"/>
      <c r="F413"/>
      <c r="G413"/>
      <c r="H413"/>
      <c r="I413"/>
      <c r="J413"/>
      <c r="K413"/>
    </row>
    <row r="414" spans="1:11" s="19" customFormat="1">
      <c r="A414" s="4"/>
      <c r="B414"/>
      <c r="C414"/>
      <c r="D414"/>
      <c r="E414"/>
      <c r="F414"/>
      <c r="G414"/>
      <c r="H414"/>
      <c r="I414"/>
      <c r="J414"/>
      <c r="K414"/>
    </row>
    <row r="415" spans="1:11" s="19" customFormat="1">
      <c r="A415" s="4"/>
      <c r="B415"/>
      <c r="C415"/>
      <c r="D415"/>
      <c r="E415"/>
      <c r="F415"/>
      <c r="G415"/>
      <c r="H415"/>
      <c r="I415"/>
      <c r="J415"/>
      <c r="K415"/>
    </row>
    <row r="416" spans="1:11" s="19" customFormat="1">
      <c r="A416" s="4"/>
      <c r="B416"/>
      <c r="C416"/>
      <c r="D416"/>
      <c r="E416"/>
      <c r="F416"/>
      <c r="G416"/>
      <c r="H416"/>
      <c r="I416"/>
      <c r="J416"/>
      <c r="K416"/>
    </row>
    <row r="417" spans="1:11" s="19" customFormat="1">
      <c r="A417" s="4"/>
      <c r="B417"/>
      <c r="C417"/>
      <c r="D417"/>
      <c r="E417"/>
      <c r="F417"/>
      <c r="G417"/>
      <c r="H417"/>
      <c r="I417"/>
      <c r="J417"/>
      <c r="K417"/>
    </row>
    <row r="418" spans="1:11" s="19" customFormat="1">
      <c r="A418" s="4"/>
      <c r="B418"/>
      <c r="C418"/>
      <c r="D418"/>
      <c r="E418"/>
      <c r="F418"/>
      <c r="G418"/>
      <c r="H418"/>
      <c r="I418"/>
      <c r="J418"/>
      <c r="K418"/>
    </row>
    <row r="419" spans="1:11" s="19" customFormat="1">
      <c r="A419" s="4"/>
      <c r="B419"/>
      <c r="C419"/>
      <c r="D419"/>
      <c r="E419"/>
      <c r="F419"/>
      <c r="G419"/>
      <c r="H419"/>
      <c r="I419"/>
      <c r="J419"/>
      <c r="K419"/>
    </row>
    <row r="420" spans="1:11" s="19" customFormat="1">
      <c r="A420" s="4"/>
      <c r="B420"/>
      <c r="C420"/>
      <c r="D420"/>
      <c r="E420"/>
      <c r="F420"/>
      <c r="G420"/>
      <c r="H420"/>
      <c r="I420"/>
      <c r="J420"/>
      <c r="K420"/>
    </row>
    <row r="421" spans="1:11" s="19" customFormat="1">
      <c r="A421" s="4"/>
      <c r="B421"/>
      <c r="C421"/>
      <c r="D421"/>
      <c r="E421"/>
      <c r="F421"/>
      <c r="G421"/>
      <c r="H421"/>
      <c r="I421"/>
      <c r="J421"/>
      <c r="K421"/>
    </row>
    <row r="422" spans="1:11" s="19" customFormat="1">
      <c r="A422" s="4"/>
      <c r="B422"/>
      <c r="C422"/>
      <c r="D422"/>
      <c r="E422"/>
      <c r="F422"/>
      <c r="G422"/>
      <c r="H422"/>
      <c r="I422"/>
      <c r="J422"/>
      <c r="K422"/>
    </row>
    <row r="423" spans="1:11" s="19" customFormat="1">
      <c r="A423" s="4"/>
      <c r="B423"/>
      <c r="C423"/>
      <c r="D423"/>
      <c r="E423"/>
      <c r="F423"/>
      <c r="G423"/>
      <c r="H423"/>
      <c r="I423"/>
      <c r="J423"/>
      <c r="K423"/>
    </row>
    <row r="424" spans="1:11" s="19" customFormat="1">
      <c r="A424" s="4"/>
      <c r="B424"/>
      <c r="C424"/>
      <c r="D424"/>
      <c r="E424"/>
      <c r="F424"/>
      <c r="G424"/>
      <c r="H424"/>
      <c r="I424"/>
      <c r="J424"/>
      <c r="K424"/>
    </row>
    <row r="425" spans="1:11" s="19" customFormat="1">
      <c r="A425" s="4"/>
      <c r="B425"/>
      <c r="C425"/>
      <c r="D425"/>
      <c r="E425"/>
      <c r="F425"/>
      <c r="G425"/>
      <c r="H425"/>
      <c r="I425"/>
      <c r="J425"/>
      <c r="K425"/>
    </row>
    <row r="426" spans="1:11" s="19" customFormat="1">
      <c r="A426" s="4"/>
      <c r="B426"/>
      <c r="C426"/>
      <c r="D426"/>
      <c r="E426"/>
      <c r="F426"/>
      <c r="G426"/>
      <c r="H426"/>
      <c r="I426"/>
      <c r="J426"/>
      <c r="K426"/>
    </row>
    <row r="427" spans="1:11" s="19" customFormat="1">
      <c r="A427" s="4"/>
      <c r="B427"/>
      <c r="C427"/>
      <c r="D427"/>
      <c r="E427"/>
      <c r="F427"/>
      <c r="G427"/>
      <c r="H427"/>
      <c r="I427"/>
      <c r="J427"/>
      <c r="K427"/>
    </row>
    <row r="428" spans="1:11" s="19" customFormat="1">
      <c r="A428" s="4"/>
      <c r="B428"/>
      <c r="C428"/>
      <c r="D428"/>
      <c r="E428"/>
      <c r="F428"/>
      <c r="G428"/>
      <c r="H428"/>
      <c r="I428"/>
      <c r="J428"/>
      <c r="K428"/>
    </row>
    <row r="429" spans="1:11" s="19" customFormat="1">
      <c r="A429" s="4"/>
      <c r="B429"/>
      <c r="C429"/>
      <c r="D429"/>
      <c r="E429"/>
      <c r="F429"/>
      <c r="G429"/>
      <c r="H429"/>
      <c r="I429"/>
      <c r="J429"/>
      <c r="K429"/>
    </row>
    <row r="430" spans="1:11" s="19" customFormat="1">
      <c r="A430" s="4"/>
      <c r="B430"/>
      <c r="C430"/>
      <c r="D430"/>
      <c r="E430"/>
      <c r="F430"/>
      <c r="G430"/>
      <c r="H430"/>
      <c r="I430"/>
      <c r="J430"/>
      <c r="K430"/>
    </row>
    <row r="431" spans="1:11" s="19" customFormat="1">
      <c r="A431" s="4"/>
      <c r="B431"/>
      <c r="C431"/>
      <c r="D431"/>
      <c r="E431"/>
      <c r="F431"/>
      <c r="G431"/>
      <c r="H431"/>
      <c r="I431"/>
      <c r="J431"/>
      <c r="K431"/>
    </row>
    <row r="432" spans="1:11" s="19" customFormat="1">
      <c r="A432" s="4"/>
      <c r="B432"/>
      <c r="C432"/>
      <c r="D432"/>
      <c r="E432"/>
      <c r="F432"/>
      <c r="G432"/>
      <c r="H432"/>
      <c r="I432"/>
      <c r="J432"/>
      <c r="K432"/>
    </row>
    <row r="433" spans="1:11" s="19" customFormat="1">
      <c r="A433" s="4"/>
      <c r="B433"/>
      <c r="C433"/>
      <c r="D433"/>
      <c r="E433"/>
      <c r="F433"/>
      <c r="G433"/>
      <c r="H433"/>
      <c r="I433"/>
      <c r="J433"/>
      <c r="K433"/>
    </row>
    <row r="434" spans="1:11" s="19" customFormat="1">
      <c r="A434" s="4"/>
      <c r="B434"/>
      <c r="C434"/>
      <c r="D434"/>
      <c r="E434"/>
      <c r="F434"/>
      <c r="G434"/>
      <c r="H434"/>
      <c r="I434"/>
      <c r="J434"/>
      <c r="K434"/>
    </row>
    <row r="435" spans="1:11" s="19" customFormat="1">
      <c r="A435" s="4"/>
      <c r="B435"/>
      <c r="C435"/>
      <c r="D435"/>
      <c r="E435"/>
      <c r="F435"/>
      <c r="G435"/>
      <c r="H435"/>
      <c r="I435"/>
      <c r="J435"/>
      <c r="K435"/>
    </row>
    <row r="436" spans="1:11" s="19" customFormat="1">
      <c r="A436" s="4"/>
      <c r="B436"/>
      <c r="C436"/>
      <c r="D436"/>
      <c r="E436"/>
      <c r="F436"/>
      <c r="G436"/>
      <c r="H436"/>
      <c r="I436"/>
      <c r="J436"/>
      <c r="K436"/>
    </row>
    <row r="437" spans="1:11" s="19" customFormat="1">
      <c r="A437" s="4"/>
      <c r="B437"/>
      <c r="C437"/>
      <c r="D437"/>
      <c r="E437"/>
      <c r="F437"/>
      <c r="G437"/>
      <c r="H437"/>
      <c r="I437"/>
      <c r="J437"/>
      <c r="K437"/>
    </row>
    <row r="438" spans="1:11" s="19" customFormat="1">
      <c r="A438" s="4"/>
      <c r="B438"/>
      <c r="C438"/>
      <c r="D438"/>
      <c r="E438"/>
      <c r="F438"/>
      <c r="G438"/>
      <c r="H438"/>
      <c r="I438"/>
      <c r="J438"/>
      <c r="K438"/>
    </row>
    <row r="439" spans="1:11" s="19" customFormat="1">
      <c r="A439" s="4"/>
      <c r="B439"/>
      <c r="C439"/>
      <c r="D439"/>
      <c r="E439"/>
      <c r="F439"/>
      <c r="G439"/>
      <c r="H439"/>
      <c r="I439"/>
      <c r="J439"/>
      <c r="K439"/>
    </row>
    <row r="440" spans="1:11" s="19" customFormat="1">
      <c r="A440" s="4"/>
      <c r="B440"/>
      <c r="C440"/>
      <c r="D440"/>
      <c r="E440"/>
      <c r="F440"/>
      <c r="G440"/>
      <c r="H440"/>
      <c r="I440"/>
      <c r="J440"/>
      <c r="K440"/>
    </row>
    <row r="441" spans="1:11" s="19" customFormat="1">
      <c r="A441" s="4"/>
      <c r="B441"/>
      <c r="C441"/>
      <c r="D441"/>
      <c r="E441"/>
      <c r="F441"/>
      <c r="G441"/>
      <c r="H441"/>
      <c r="I441"/>
      <c r="J441"/>
      <c r="K441"/>
    </row>
    <row r="442" spans="1:11" s="19" customFormat="1">
      <c r="A442" s="4"/>
      <c r="B442"/>
      <c r="C442"/>
      <c r="D442"/>
      <c r="E442"/>
      <c r="F442"/>
      <c r="G442"/>
      <c r="H442"/>
      <c r="I442"/>
      <c r="J442"/>
      <c r="K442"/>
    </row>
    <row r="443" spans="1:11" s="19" customFormat="1">
      <c r="A443" s="4"/>
      <c r="B443"/>
      <c r="C443"/>
      <c r="D443"/>
      <c r="E443"/>
      <c r="F443"/>
      <c r="G443"/>
      <c r="H443"/>
      <c r="I443"/>
      <c r="J443"/>
      <c r="K443"/>
    </row>
    <row r="444" spans="1:11" s="19" customFormat="1">
      <c r="A444" s="4"/>
      <c r="B444"/>
      <c r="C444"/>
      <c r="D444"/>
      <c r="E444"/>
      <c r="F444"/>
      <c r="G444"/>
      <c r="H444"/>
      <c r="I444"/>
      <c r="J444"/>
      <c r="K444"/>
    </row>
    <row r="445" spans="1:11" s="19" customFormat="1">
      <c r="A445" s="4"/>
      <c r="B445"/>
      <c r="C445"/>
      <c r="D445"/>
      <c r="E445"/>
      <c r="F445"/>
      <c r="G445"/>
      <c r="H445"/>
      <c r="I445"/>
      <c r="J445"/>
      <c r="K445"/>
    </row>
    <row r="446" spans="1:11" s="19" customFormat="1">
      <c r="A446" s="4"/>
      <c r="B446"/>
      <c r="C446"/>
      <c r="D446"/>
      <c r="E446"/>
      <c r="F446"/>
      <c r="G446"/>
      <c r="H446"/>
      <c r="I446"/>
      <c r="J446"/>
      <c r="K446"/>
    </row>
    <row r="447" spans="1:11" s="19" customFormat="1">
      <c r="A447" s="4"/>
      <c r="B447"/>
      <c r="C447"/>
      <c r="D447"/>
      <c r="E447"/>
      <c r="F447"/>
      <c r="G447"/>
      <c r="H447"/>
      <c r="I447"/>
      <c r="J447"/>
      <c r="K447"/>
    </row>
    <row r="448" spans="1:11" s="19" customFormat="1">
      <c r="A448" s="4"/>
      <c r="B448"/>
      <c r="C448"/>
      <c r="D448"/>
      <c r="E448"/>
      <c r="F448"/>
      <c r="G448"/>
      <c r="H448"/>
      <c r="I448"/>
      <c r="J448"/>
      <c r="K448"/>
    </row>
    <row r="449" spans="1:11" s="19" customFormat="1">
      <c r="A449" s="4"/>
      <c r="B449"/>
      <c r="C449"/>
      <c r="D449"/>
      <c r="E449"/>
      <c r="F449"/>
      <c r="G449"/>
      <c r="H449"/>
      <c r="I449"/>
      <c r="J449"/>
      <c r="K449"/>
    </row>
    <row r="450" spans="1:11" s="19" customFormat="1">
      <c r="A450" s="4"/>
      <c r="B450"/>
      <c r="C450"/>
      <c r="D450"/>
      <c r="E450"/>
      <c r="F450"/>
      <c r="G450"/>
      <c r="H450"/>
      <c r="I450"/>
      <c r="J450"/>
      <c r="K450"/>
    </row>
    <row r="451" spans="1:11" s="19" customFormat="1">
      <c r="A451" s="4"/>
      <c r="B451"/>
      <c r="C451"/>
      <c r="D451"/>
      <c r="E451"/>
      <c r="F451"/>
      <c r="G451"/>
      <c r="H451"/>
      <c r="I451"/>
      <c r="J451"/>
      <c r="K451"/>
    </row>
    <row r="452" spans="1:11" s="19" customFormat="1">
      <c r="A452" s="4"/>
      <c r="B452"/>
      <c r="C452"/>
      <c r="D452"/>
      <c r="E452"/>
      <c r="F452"/>
      <c r="G452"/>
      <c r="H452"/>
      <c r="I452"/>
      <c r="J452"/>
      <c r="K452"/>
    </row>
    <row r="453" spans="1:11" s="19" customFormat="1">
      <c r="A453" s="4"/>
      <c r="B453"/>
      <c r="C453"/>
      <c r="D453"/>
      <c r="E453"/>
      <c r="F453"/>
      <c r="G453"/>
      <c r="H453"/>
      <c r="I453"/>
      <c r="J453"/>
      <c r="K453"/>
    </row>
    <row r="454" spans="1:11" s="19" customFormat="1">
      <c r="A454" s="4"/>
      <c r="B454"/>
      <c r="C454"/>
      <c r="D454"/>
      <c r="E454"/>
      <c r="F454"/>
      <c r="G454"/>
      <c r="H454"/>
      <c r="I454"/>
      <c r="J454"/>
      <c r="K454"/>
    </row>
    <row r="455" spans="1:11" s="19" customFormat="1">
      <c r="A455" s="4"/>
      <c r="B455"/>
      <c r="C455"/>
      <c r="D455"/>
      <c r="E455"/>
      <c r="F455"/>
      <c r="G455"/>
      <c r="H455"/>
      <c r="I455"/>
      <c r="J455"/>
      <c r="K455"/>
    </row>
    <row r="456" spans="1:11" s="19" customFormat="1">
      <c r="A456" s="4"/>
      <c r="B456"/>
      <c r="C456"/>
      <c r="D456"/>
      <c r="E456"/>
      <c r="F456"/>
      <c r="G456"/>
      <c r="H456"/>
      <c r="I456"/>
      <c r="J456"/>
      <c r="K456"/>
    </row>
    <row r="457" spans="1:11" s="19" customFormat="1">
      <c r="A457" s="4"/>
      <c r="B457"/>
      <c r="C457"/>
      <c r="D457"/>
      <c r="E457"/>
      <c r="F457"/>
      <c r="G457"/>
      <c r="H457"/>
      <c r="I457"/>
      <c r="J457"/>
      <c r="K457"/>
    </row>
    <row r="458" spans="1:11" s="19" customFormat="1">
      <c r="A458" s="4"/>
      <c r="B458"/>
      <c r="C458"/>
      <c r="D458"/>
      <c r="E458"/>
      <c r="F458"/>
      <c r="G458"/>
      <c r="H458"/>
      <c r="I458"/>
      <c r="J458"/>
      <c r="K458"/>
    </row>
    <row r="459" spans="1:11" s="19" customFormat="1">
      <c r="A459" s="4"/>
      <c r="B459"/>
      <c r="C459"/>
      <c r="D459"/>
      <c r="E459"/>
      <c r="F459"/>
      <c r="G459"/>
      <c r="H459"/>
      <c r="I459"/>
      <c r="J459"/>
      <c r="K459"/>
    </row>
    <row r="460" spans="1:11" s="19" customFormat="1">
      <c r="A460" s="4"/>
      <c r="B460"/>
      <c r="C460"/>
      <c r="D460"/>
      <c r="E460"/>
      <c r="F460"/>
      <c r="G460"/>
      <c r="H460"/>
      <c r="I460"/>
      <c r="J460"/>
      <c r="K460"/>
    </row>
    <row r="461" spans="1:11" s="19" customFormat="1">
      <c r="A461" s="4"/>
      <c r="B461"/>
      <c r="C461"/>
      <c r="D461"/>
      <c r="E461"/>
      <c r="F461"/>
      <c r="G461"/>
      <c r="H461"/>
      <c r="I461"/>
      <c r="J461"/>
      <c r="K461"/>
    </row>
    <row r="462" spans="1:11" s="19" customFormat="1">
      <c r="A462" s="4"/>
      <c r="B462"/>
      <c r="C462"/>
      <c r="D462"/>
      <c r="E462"/>
      <c r="F462"/>
      <c r="G462"/>
      <c r="H462"/>
      <c r="I462"/>
      <c r="J462"/>
      <c r="K462"/>
    </row>
    <row r="463" spans="1:11" s="19" customFormat="1">
      <c r="A463" s="4"/>
      <c r="B463"/>
      <c r="C463"/>
      <c r="D463"/>
      <c r="E463"/>
      <c r="F463"/>
      <c r="G463"/>
      <c r="H463"/>
      <c r="I463"/>
      <c r="J463"/>
      <c r="K463"/>
    </row>
    <row r="464" spans="1:11" s="19" customFormat="1">
      <c r="A464" s="4"/>
      <c r="B464"/>
      <c r="C464"/>
      <c r="D464"/>
      <c r="E464"/>
      <c r="F464"/>
      <c r="G464"/>
      <c r="H464"/>
      <c r="I464"/>
      <c r="J464"/>
      <c r="K464"/>
    </row>
    <row r="465" spans="1:11" s="19" customFormat="1">
      <c r="A465" s="4"/>
      <c r="B465"/>
      <c r="C465"/>
      <c r="D465"/>
      <c r="E465"/>
      <c r="F465"/>
      <c r="G465"/>
      <c r="H465"/>
      <c r="I465"/>
      <c r="J465"/>
      <c r="K465"/>
    </row>
    <row r="466" spans="1:11" s="19" customFormat="1">
      <c r="A466" s="4"/>
      <c r="B466"/>
      <c r="C466"/>
      <c r="D466"/>
      <c r="E466"/>
      <c r="F466"/>
      <c r="G466"/>
      <c r="H466"/>
      <c r="I466"/>
      <c r="J466"/>
      <c r="K466"/>
    </row>
    <row r="467" spans="1:11" s="19" customFormat="1">
      <c r="A467" s="4"/>
      <c r="B467"/>
      <c r="C467"/>
      <c r="D467"/>
      <c r="E467"/>
      <c r="F467"/>
      <c r="G467"/>
      <c r="H467"/>
      <c r="I467"/>
      <c r="J467"/>
      <c r="K467"/>
    </row>
    <row r="468" spans="1:11" s="19" customFormat="1">
      <c r="A468" s="4"/>
      <c r="B468"/>
      <c r="C468"/>
      <c r="D468"/>
      <c r="E468"/>
      <c r="F468"/>
      <c r="G468"/>
      <c r="H468"/>
      <c r="I468"/>
      <c r="J468"/>
      <c r="K468"/>
    </row>
    <row r="469" spans="1:11" s="19" customFormat="1">
      <c r="A469" s="4"/>
      <c r="B469"/>
      <c r="C469"/>
      <c r="D469"/>
      <c r="E469"/>
      <c r="F469"/>
      <c r="G469"/>
      <c r="H469"/>
      <c r="I469"/>
      <c r="J469"/>
      <c r="K469"/>
    </row>
    <row r="470" spans="1:11" s="19" customFormat="1">
      <c r="A470" s="4"/>
      <c r="B470"/>
      <c r="C470"/>
      <c r="D470"/>
      <c r="E470"/>
      <c r="F470"/>
      <c r="G470"/>
      <c r="H470"/>
      <c r="I470"/>
      <c r="J470"/>
      <c r="K470"/>
    </row>
    <row r="471" spans="1:11" s="19" customFormat="1">
      <c r="A471" s="4"/>
      <c r="B471"/>
      <c r="C471"/>
      <c r="D471"/>
      <c r="E471"/>
      <c r="F471"/>
      <c r="G471"/>
      <c r="H471"/>
      <c r="I471"/>
      <c r="J471"/>
      <c r="K471"/>
    </row>
    <row r="472" spans="1:11" s="19" customFormat="1">
      <c r="A472" s="4"/>
      <c r="B472"/>
      <c r="C472"/>
      <c r="D472"/>
      <c r="E472"/>
      <c r="F472"/>
      <c r="G472"/>
      <c r="H472"/>
      <c r="I472"/>
      <c r="J472"/>
      <c r="K472"/>
    </row>
    <row r="473" spans="1:11" s="19" customFormat="1">
      <c r="A473" s="4"/>
      <c r="B473"/>
      <c r="C473"/>
      <c r="D473"/>
      <c r="E473"/>
      <c r="F473"/>
      <c r="G473"/>
      <c r="H473"/>
      <c r="I473"/>
      <c r="J473"/>
      <c r="K473"/>
    </row>
    <row r="474" spans="1:11" s="19" customFormat="1">
      <c r="A474" s="4"/>
      <c r="B474"/>
      <c r="C474"/>
      <c r="D474"/>
      <c r="E474"/>
      <c r="F474"/>
      <c r="G474"/>
      <c r="H474"/>
      <c r="I474"/>
      <c r="J474"/>
      <c r="K474"/>
    </row>
    <row r="475" spans="1:11" s="19" customFormat="1">
      <c r="A475" s="4"/>
      <c r="B475"/>
      <c r="C475"/>
      <c r="D475"/>
      <c r="E475"/>
      <c r="F475"/>
      <c r="G475"/>
      <c r="H475"/>
      <c r="I475"/>
      <c r="J475"/>
      <c r="K475"/>
    </row>
    <row r="476" spans="1:11" s="19" customFormat="1">
      <c r="A476" s="4"/>
      <c r="B476"/>
      <c r="C476"/>
      <c r="D476"/>
      <c r="E476"/>
      <c r="F476"/>
      <c r="G476"/>
      <c r="H476"/>
      <c r="I476"/>
      <c r="J476"/>
      <c r="K476"/>
    </row>
    <row r="477" spans="1:11" s="19" customFormat="1">
      <c r="A477" s="4"/>
      <c r="B477"/>
      <c r="C477"/>
      <c r="D477"/>
      <c r="E477"/>
      <c r="F477"/>
      <c r="G477"/>
      <c r="H477"/>
      <c r="I477"/>
      <c r="J477"/>
      <c r="K477"/>
    </row>
    <row r="478" spans="1:11" s="19" customFormat="1">
      <c r="A478" s="4"/>
      <c r="B478"/>
      <c r="C478"/>
      <c r="D478"/>
      <c r="E478"/>
      <c r="F478"/>
      <c r="G478"/>
      <c r="H478"/>
      <c r="I478"/>
      <c r="J478"/>
      <c r="K478"/>
    </row>
    <row r="479" spans="1:11" s="19" customFormat="1">
      <c r="A479" s="4"/>
      <c r="B479"/>
      <c r="C479"/>
      <c r="D479"/>
      <c r="E479"/>
      <c r="F479"/>
      <c r="G479"/>
      <c r="H479"/>
      <c r="I479"/>
      <c r="J479"/>
      <c r="K479"/>
    </row>
    <row r="480" spans="1:11" s="19" customFormat="1">
      <c r="A480" s="4"/>
      <c r="B480"/>
      <c r="C480"/>
      <c r="D480"/>
      <c r="E480"/>
      <c r="F480"/>
      <c r="G480"/>
      <c r="H480"/>
      <c r="I480"/>
      <c r="J480"/>
      <c r="K480"/>
    </row>
    <row r="481" spans="1:11" s="19" customFormat="1">
      <c r="A481" s="4"/>
      <c r="B481"/>
      <c r="C481"/>
      <c r="D481"/>
      <c r="E481"/>
      <c r="F481"/>
      <c r="G481"/>
      <c r="H481"/>
      <c r="I481"/>
      <c r="J481"/>
      <c r="K481"/>
    </row>
    <row r="482" spans="1:11" s="19" customFormat="1">
      <c r="A482" s="4"/>
      <c r="B482"/>
      <c r="C482"/>
      <c r="D482"/>
      <c r="E482"/>
      <c r="F482"/>
      <c r="G482"/>
      <c r="H482"/>
      <c r="I482"/>
      <c r="J482"/>
      <c r="K482"/>
    </row>
    <row r="483" spans="1:11" s="19" customFormat="1">
      <c r="A483" s="4"/>
      <c r="B483"/>
      <c r="C483"/>
      <c r="D483"/>
      <c r="E483"/>
      <c r="F483"/>
      <c r="G483"/>
      <c r="H483"/>
      <c r="I483"/>
      <c r="J483"/>
      <c r="K483"/>
    </row>
    <row r="484" spans="1:11" s="19" customFormat="1">
      <c r="A484" s="4"/>
      <c r="B484"/>
      <c r="C484"/>
      <c r="D484"/>
      <c r="E484"/>
      <c r="F484"/>
      <c r="G484"/>
      <c r="H484"/>
      <c r="I484"/>
      <c r="J484"/>
      <c r="K484"/>
    </row>
    <row r="485" spans="1:11" s="19" customFormat="1">
      <c r="A485" s="4"/>
      <c r="B485"/>
      <c r="C485"/>
      <c r="D485"/>
      <c r="E485"/>
      <c r="F485"/>
      <c r="G485"/>
      <c r="H485"/>
      <c r="I485"/>
      <c r="J485"/>
      <c r="K485"/>
    </row>
    <row r="486" spans="1:11" s="19" customFormat="1">
      <c r="A486" s="4"/>
      <c r="B486"/>
      <c r="C486"/>
      <c r="D486"/>
      <c r="E486"/>
      <c r="F486"/>
      <c r="G486"/>
      <c r="H486"/>
      <c r="I486"/>
      <c r="J486"/>
      <c r="K486"/>
    </row>
    <row r="487" spans="1:11" s="19" customFormat="1">
      <c r="A487" s="4"/>
      <c r="B487"/>
      <c r="C487"/>
      <c r="D487"/>
      <c r="E487"/>
      <c r="F487"/>
      <c r="G487"/>
      <c r="H487"/>
      <c r="I487"/>
      <c r="J487"/>
      <c r="K487"/>
    </row>
    <row r="488" spans="1:11" s="19" customFormat="1">
      <c r="A488" s="4"/>
      <c r="B488"/>
      <c r="C488"/>
      <c r="D488"/>
      <c r="E488"/>
      <c r="F488"/>
      <c r="G488"/>
      <c r="H488"/>
      <c r="I488"/>
      <c r="J488"/>
      <c r="K488"/>
    </row>
    <row r="489" spans="1:11" s="19" customFormat="1">
      <c r="A489" s="4"/>
      <c r="B489"/>
      <c r="C489"/>
      <c r="D489"/>
      <c r="E489"/>
      <c r="F489"/>
      <c r="G489"/>
      <c r="H489"/>
      <c r="I489"/>
      <c r="J489"/>
      <c r="K489"/>
    </row>
  </sheetData>
  <printOptions headings="1"/>
  <pageMargins left="0.25" right="0.25" top="0.75" bottom="0.75" header="0.3" footer="0.3"/>
  <pageSetup paperSize="9" scale="80" fitToWidth="0" fitToHeight="0" orientation="portrait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/>
</file>

<file path=customXml/itemProps2.xml><?xml version="1.0" encoding="utf-8"?>
<ds:datastoreItem xmlns:ds="http://schemas.openxmlformats.org/officeDocument/2006/customXml" ds:itemID="{A6A6278B-0476-46CE-815A-3F41F4371156}"/>
</file>

<file path=customXml/itemProps3.xml><?xml version="1.0" encoding="utf-8"?>
<ds:datastoreItem xmlns:ds="http://schemas.openxmlformats.org/officeDocument/2006/customXml" ds:itemID="{499037E4-A6E4-45D3-B93A-3D2B6A0C2B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2026-04-20T02:01:08Z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